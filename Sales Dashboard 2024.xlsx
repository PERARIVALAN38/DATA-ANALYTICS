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XCEL\DASHBOARD\"/>
    </mc:Choice>
  </mc:AlternateContent>
  <xr:revisionPtr revIDLastSave="0" documentId="8_{1FD16BBD-AF2E-4D40-9789-3E7B23A809E0}" xr6:coauthVersionLast="47" xr6:coauthVersionMax="47" xr10:uidLastSave="{00000000-0000-0000-0000-000000000000}"/>
  <bookViews>
    <workbookView xWindow="-108" yWindow="-108" windowWidth="23256" windowHeight="12456" activeTab="2" xr2:uid="{C0893FBD-34B3-420E-B0D6-EC330180DDEA}"/>
  </bookViews>
  <sheets>
    <sheet name="Pivot Table" sheetId="5" r:id="rId1"/>
    <sheet name="Dashboard" sheetId="7" r:id="rId2"/>
    <sheet name="SalesData" sheetId="3" r:id="rId3"/>
  </sheets>
  <definedNames>
    <definedName name="Slicer_Product">#N/A</definedName>
    <definedName name="Slicer_Region">#N/A</definedName>
    <definedName name="Slicer_Sales_Person">#N/A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3" l="1"/>
  <c r="M2" i="3"/>
  <c r="L2"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<sst xmlns="http://schemas.openxmlformats.org/spreadsheetml/2006/main" count="203" uniqueCount="37">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</sst>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 &quot;Rs.&quot;\ * #,##0_ ;_ &quot;Rs.&quot;\ * \-#,##0_ ;_ &quot;Rs.&quot;\ * &quot;-&quot;_ ;_ @_ "/>
    <numFmt numFmtId="169" formatCode="##\.##,&quot;L&quot;"/>
    <numFmt numFmtId="171" formatCode="_ * #,##0_ ;_ * \-#,##0_ ;_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0" fillId="0" borderId="0" xfId="0" pivotButton="1"/>
    <xf numFmtId="2" fontId="0" fillId="0" borderId="0" xfId="0" applyNumberFormat="1"/>
    <xf numFmtId="1" fontId="0" fillId="0" borderId="0" xfId="0" applyNumberFormat="1"/>
    <xf numFmtId="169" fontId="0" fillId="0" borderId="0" xfId="0" applyNumberFormat="1"/>
    <xf numFmtId="2" fontId="0" fillId="0" borderId="0" xfId="3" applyNumberFormat="1" applyFont="1"/>
    <xf numFmtId="171" fontId="0" fillId="0" borderId="0" xfId="2" applyNumberFormat="1" applyFont="1"/>
  </cellXfs>
  <cellStyles count="4">
    <cellStyle name="Comma" xfId="2" builtinId="3"/>
    <cellStyle name="Currency" xfId="3" builtinId="4"/>
    <cellStyle name="Currency [0]" xfId="1" builtinId="7"/>
    <cellStyle name="Normal" xfId="0" builtinId="0"/>
  </cellStyles>
  <dxfs count="278">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2" formatCode="0.00"/>
    </dxf>
    <dxf>
      <numFmt numFmtId="1" formatCode="0"/>
    </dxf>
    <dxf>
      <numFmt numFmtId="2" formatCode="0.00"/>
    </dxf>
    <dxf>
      <numFmt numFmtId="169" formatCode="##\.##,&quot;L&quot;"/>
    </dxf>
    <dxf>
      <numFmt numFmtId="2" formatCode="0.00"/>
    </dxf>
    <dxf>
      <numFmt numFmtId="169" formatCode="##\.##,&quot;L&quot;"/>
    </dxf>
    <dxf>
      <numFmt numFmtId="169" formatCode="##\.##,&quot;L&quot;"/>
    </dxf>
    <dxf>
      <numFmt numFmtId="2" formatCode="0.00"/>
    </dxf>
    <dxf>
      <numFmt numFmtId="2" formatCode="0.00"/>
    </dxf>
    <dxf>
      <numFmt numFmtId="169" formatCode="##\.##,&quot;L&quot;"/>
    </dxf>
    <dxf>
      <numFmt numFmtId="169" formatCode="##\.##,&quot;L&quot;"/>
    </dxf>
    <dxf>
      <numFmt numFmtId="169" formatCode="##\.##,&quot;L&quot;"/>
    </dxf>
    <dxf>
      <numFmt numFmtId="169" formatCode="##\.##,&quot;L&quot;"/>
    </dxf>
    <dxf>
      <numFmt numFmtId="1" formatCode="0"/>
    </dxf>
    <dxf>
      <numFmt numFmtId="2" formatCode="0.00"/>
    </dxf>
    <dxf>
      <numFmt numFmtId="2" formatCode="0.00"/>
    </dxf>
    <dxf>
      <numFmt numFmtId="2" formatCode="0.00"/>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829-4324-A5F4-829EA98D2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29-4324-A5F4-829EA98D2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829-4324-A5F4-829EA98D2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829-4324-A5F4-829EA98D212B}"/>
              </c:ext>
            </c:extLst>
          </c:dPt>
          <c:dLbls>
            <c:dLbl>
              <c:idx val="0"/>
              <c:layout>
                <c:manualLayout>
                  <c:x val="0.1305555555555554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9-4324-A5F4-829EA98D212B}"/>
                </c:ext>
              </c:extLst>
            </c:dLbl>
            <c:dLbl>
              <c:idx val="1"/>
              <c:layout>
                <c:manualLayout>
                  <c:x val="0.1166666666666665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9-4324-A5F4-829EA98D212B}"/>
                </c:ext>
              </c:extLst>
            </c:dLbl>
            <c:dLbl>
              <c:idx val="2"/>
              <c:layout>
                <c:manualLayout>
                  <c:x val="-0.13333333333333339"/>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9-4324-A5F4-829EA98D212B}"/>
                </c:ext>
              </c:extLst>
            </c:dLbl>
            <c:dLbl>
              <c:idx val="3"/>
              <c:layout>
                <c:manualLayout>
                  <c:x val="-0.1222222222222222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9-4324-A5F4-829EA98D212B}"/>
                </c:ext>
              </c:extLst>
            </c:dLbl>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0-8829-4324-A5F4-829EA98D21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Table!PivotTable3</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566929133858"/>
          <c:y val="0.12860892388451445"/>
          <c:w val="0.66104330708661418"/>
          <c:h val="0.80657626130067073"/>
        </c:manualLayout>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0298-474D-886F-1CA5C9D38658}"/>
            </c:ext>
          </c:extLst>
        </c:ser>
        <c:dLbls>
          <c:dLblPos val="outEnd"/>
          <c:showLegendKey val="0"/>
          <c:showVal val="1"/>
          <c:showCatName val="0"/>
          <c:showSerName val="0"/>
          <c:showPercent val="0"/>
          <c:showBubbleSize val="0"/>
        </c:dLbls>
        <c:gapWidth val="50"/>
        <c:axId val="722803935"/>
        <c:axId val="722792415"/>
      </c:barChart>
      <c:catAx>
        <c:axId val="7228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92415"/>
        <c:crosses val="autoZero"/>
        <c:auto val="1"/>
        <c:lblAlgn val="ctr"/>
        <c:lblOffset val="100"/>
        <c:noMultiLvlLbl val="0"/>
      </c:catAx>
      <c:valAx>
        <c:axId val="722792415"/>
        <c:scaling>
          <c:orientation val="minMax"/>
        </c:scaling>
        <c:delete val="1"/>
        <c:axPos val="b"/>
        <c:numFmt formatCode="##\.##,&quot;L&quot;" sourceLinked="1"/>
        <c:majorTickMark val="out"/>
        <c:minorTickMark val="none"/>
        <c:tickLblPos val="nextTo"/>
        <c:crossAx val="7228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Table!PivotTable4</c:name>
    <c:fmtId val="1"/>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Table'!$I$4:$I$14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130-44D2-9190-00124265F0F6}"/>
            </c:ext>
          </c:extLst>
        </c:ser>
        <c:dLbls>
          <c:showLegendKey val="0"/>
          <c:showVal val="0"/>
          <c:showCatName val="0"/>
          <c:showSerName val="0"/>
          <c:showPercent val="0"/>
          <c:showBubbleSize val="0"/>
        </c:dLbls>
        <c:gapWidth val="73"/>
        <c:overlap val="-27"/>
        <c:axId val="722814495"/>
        <c:axId val="722814975"/>
      </c:barChart>
      <c:catAx>
        <c:axId val="722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14975"/>
        <c:crosses val="autoZero"/>
        <c:auto val="1"/>
        <c:lblAlgn val="ctr"/>
        <c:lblOffset val="100"/>
        <c:noMultiLvlLbl val="0"/>
      </c:catAx>
      <c:valAx>
        <c:axId val="722814975"/>
        <c:scaling>
          <c:orientation val="minMax"/>
        </c:scaling>
        <c:delete val="1"/>
        <c:axPos val="l"/>
        <c:numFmt formatCode="##\.##,&quot;L&quot;" sourceLinked="1"/>
        <c:majorTickMark val="none"/>
        <c:minorTickMark val="none"/>
        <c:tickLblPos val="nextTo"/>
        <c:crossAx val="72281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Table!PivotTable5</c:name>
    <c:fmtId val="1"/>
  </c:pivotSource>
  <c:chart>
    <c:autoTitleDeleted val="1"/>
    <c:pivotFmts>
      <c:pivotFmt>
        <c:idx val="0"/>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2"/>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s>
    <c:plotArea>
      <c:layout/>
      <c:lineChart>
        <c:grouping val="standard"/>
        <c:varyColors val="0"/>
        <c:ser>
          <c:idx val="0"/>
          <c:order val="0"/>
          <c:tx>
            <c:strRef>
              <c:f>'Pivot Table'!$M$3</c:f>
              <c:strCache>
                <c:ptCount val="1"/>
                <c:pt idx="0">
                  <c:v>Total</c:v>
                </c:pt>
              </c:strCache>
            </c:strRef>
          </c:tx>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Pt>
            <c:idx val="4"/>
            <c:marker>
              <c:symbol val="diamond"/>
              <c:size val="8"/>
              <c:spPr>
                <a:noFill/>
                <a:ln w="22225">
                  <a:solidFill>
                    <a:srgbClr val="0070C0">
                      <a:alpha val="88000"/>
                    </a:srgbClr>
                  </a:solidFill>
                  <a:round/>
                </a:ln>
                <a:effectLst>
                  <a:outerShdw dist="25400" dir="2700000" algn="tl" rotWithShape="0">
                    <a:schemeClr val="bg1"/>
                  </a:outerShdw>
                </a:effectLst>
              </c:spPr>
            </c:marker>
            <c:bubble3D val="0"/>
            <c:extLst>
              <c:ext xmlns:c16="http://schemas.microsoft.com/office/drawing/2014/chart" uri="{C3380CC4-5D6E-409C-BE32-E72D297353CC}">
                <c16:uniqueId val="{00000003-019B-4243-803D-31FBF764CAC0}"/>
              </c:ext>
            </c:extLst>
          </c:dPt>
          <c:dLbls>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Table'!$L$4:$L$11</c:f>
              <c:strCache>
                <c:ptCount val="7"/>
                <c:pt idx="0">
                  <c:v>Action Figure</c:v>
                </c:pt>
                <c:pt idx="1">
                  <c:v>Blender</c:v>
                </c:pt>
                <c:pt idx="2">
                  <c:v>Moisturizer</c:v>
                </c:pt>
                <c:pt idx="3">
                  <c:v>Novel</c:v>
                </c:pt>
                <c:pt idx="4">
                  <c:v>Smartphone</c:v>
                </c:pt>
                <c:pt idx="5">
                  <c:v>Sneakers</c:v>
                </c:pt>
                <c:pt idx="6">
                  <c:v>Tent</c:v>
                </c:pt>
              </c:strCache>
            </c:strRef>
          </c:cat>
          <c:val>
            <c:numRef>
              <c:f>'Pivot Table'!$M$4:$M$11</c:f>
              <c:numCache>
                <c:formatCode>0</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19B-4243-803D-31FBF764CAC0}"/>
            </c:ext>
          </c:extLst>
        </c:ser>
        <c:dLbls>
          <c:dLblPos val="t"/>
          <c:showLegendKey val="0"/>
          <c:showVal val="1"/>
          <c:showCatName val="0"/>
          <c:showSerName val="0"/>
          <c:showPercent val="0"/>
          <c:showBubbleSize val="0"/>
        </c:dLbls>
        <c:dropLines>
          <c:spPr>
            <a:ln w="15875" cap="flat" cmpd="sng" algn="ctr">
              <a:solidFill>
                <a:schemeClr val="tx1"/>
              </a:solidFill>
              <a:round/>
            </a:ln>
            <a:effectLst/>
          </c:spPr>
        </c:dropLines>
        <c:marker val="1"/>
        <c:smooth val="0"/>
        <c:axId val="741389471"/>
        <c:axId val="741392831"/>
      </c:lineChart>
      <c:catAx>
        <c:axId val="741389471"/>
        <c:scaling>
          <c:orientation val="minMax"/>
        </c:scaling>
        <c:delete val="0"/>
        <c:axPos val="b"/>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30" baseline="0">
                <a:solidFill>
                  <a:srgbClr val="0070C0"/>
                </a:solidFill>
                <a:latin typeface="+mn-lt"/>
                <a:ea typeface="+mn-ea"/>
                <a:cs typeface="+mn-cs"/>
              </a:defRPr>
            </a:pPr>
            <a:endParaRPr lang="en-US"/>
          </a:p>
        </c:txPr>
        <c:crossAx val="741392831"/>
        <c:crosses val="autoZero"/>
        <c:auto val="1"/>
        <c:lblAlgn val="ctr"/>
        <c:lblOffset val="100"/>
        <c:noMultiLvlLbl val="0"/>
      </c:catAx>
      <c:valAx>
        <c:axId val="7413928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1389471"/>
        <c:crosses val="autoZero"/>
        <c:crossBetween val="between"/>
      </c:valAx>
      <c:spPr>
        <a:noFill/>
        <a:ln w="22225"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Table!PivotTable5</c:name>
    <c:fmtId val="9"/>
  </c:pivotSource>
  <c:chart>
    <c:autoTitleDeleted val="1"/>
    <c:pivotFmts>
      <c:pivotFmt>
        <c:idx val="0"/>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2"/>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pivotFmt>
      <c:pivotFmt>
        <c:idx val="3"/>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88000"/>
                </a:srgbClr>
              </a:solidFill>
              <a:round/>
            </a:ln>
            <a:effectLst>
              <a:outerShdw dist="25400" dir="2700000" algn="tl" rotWithShape="0">
                <a:schemeClr val="bg1"/>
              </a:outerShdw>
            </a:effectLst>
          </c:spPr>
        </c:marker>
      </c:pivotFmt>
      <c:pivotFmt>
        <c:idx val="5"/>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Lbl>
          <c:idx val="0"/>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88000"/>
                </a:srgbClr>
              </a:solidFill>
              <a:round/>
            </a:ln>
            <a:effectLst>
              <a:outerShdw dist="25400" dir="2700000" algn="tl" rotWithShape="0">
                <a:schemeClr val="bg1"/>
              </a:outerShdw>
            </a:effectLst>
          </c:spPr>
        </c:marker>
      </c:pivotFmt>
    </c:pivotFmts>
    <c:plotArea>
      <c:layout/>
      <c:lineChart>
        <c:grouping val="standard"/>
        <c:varyColors val="0"/>
        <c:ser>
          <c:idx val="0"/>
          <c:order val="0"/>
          <c:tx>
            <c:strRef>
              <c:f>'Pivot Table'!$M$3</c:f>
              <c:strCache>
                <c:ptCount val="1"/>
                <c:pt idx="0">
                  <c:v>Total</c:v>
                </c:pt>
              </c:strCache>
            </c:strRef>
          </c:tx>
          <c:spPr>
            <a:ln w="22225" cap="rnd">
              <a:solidFill>
                <a:schemeClr val="accent6">
                  <a:lumMod val="75000"/>
                </a:schemeClr>
              </a:solidFill>
              <a:round/>
            </a:ln>
            <a:effectLst>
              <a:outerShdw dist="25400" dir="2700000" algn="tl" rotWithShape="0">
                <a:schemeClr val="bg1"/>
              </a:outerShdw>
            </a:effectLst>
          </c:spPr>
          <c:marker>
            <c:symbol val="diamond"/>
            <c:size val="8"/>
            <c:spPr>
              <a:noFill/>
              <a:ln w="22225">
                <a:solidFill>
                  <a:srgbClr val="0070C0">
                    <a:alpha val="99000"/>
                  </a:srgbClr>
                </a:solidFill>
                <a:round/>
              </a:ln>
              <a:effectLst>
                <a:outerShdw dist="25400" dir="2700000" algn="tl" rotWithShape="0">
                  <a:schemeClr val="bg1"/>
                </a:outerShdw>
              </a:effectLst>
            </c:spPr>
          </c:marker>
          <c:dPt>
            <c:idx val="4"/>
            <c:marker>
              <c:symbol val="diamond"/>
              <c:size val="8"/>
              <c:spPr>
                <a:noFill/>
                <a:ln w="22225">
                  <a:solidFill>
                    <a:srgbClr val="0070C0">
                      <a:alpha val="88000"/>
                    </a:srgbClr>
                  </a:solidFill>
                  <a:round/>
                </a:ln>
                <a:effectLst>
                  <a:outerShdw dist="25400" dir="2700000" algn="tl" rotWithShape="0">
                    <a:schemeClr val="bg1"/>
                  </a:outerShdw>
                </a:effectLst>
              </c:spPr>
            </c:marker>
            <c:bubble3D val="0"/>
            <c:extLst>
              <c:ext xmlns:c16="http://schemas.microsoft.com/office/drawing/2014/chart" uri="{C3380CC4-5D6E-409C-BE32-E72D297353CC}">
                <c16:uniqueId val="{00000000-EAE6-406A-95C6-E82969D14E3D}"/>
              </c:ext>
            </c:extLst>
          </c:dPt>
          <c:dLbls>
            <c:spPr>
              <a:solidFill>
                <a:schemeClr val="accent6">
                  <a:lumMod val="7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Table'!$L$4:$L$11</c:f>
              <c:strCache>
                <c:ptCount val="7"/>
                <c:pt idx="0">
                  <c:v>Action Figure</c:v>
                </c:pt>
                <c:pt idx="1">
                  <c:v>Blender</c:v>
                </c:pt>
                <c:pt idx="2">
                  <c:v>Moisturizer</c:v>
                </c:pt>
                <c:pt idx="3">
                  <c:v>Novel</c:v>
                </c:pt>
                <c:pt idx="4">
                  <c:v>Smartphone</c:v>
                </c:pt>
                <c:pt idx="5">
                  <c:v>Sneakers</c:v>
                </c:pt>
                <c:pt idx="6">
                  <c:v>Tent</c:v>
                </c:pt>
              </c:strCache>
            </c:strRef>
          </c:cat>
          <c:val>
            <c:numRef>
              <c:f>'Pivot Table'!$M$4:$M$11</c:f>
              <c:numCache>
                <c:formatCode>0</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1-EAE6-406A-95C6-E82969D14E3D}"/>
            </c:ext>
          </c:extLst>
        </c:ser>
        <c:dLbls>
          <c:dLblPos val="t"/>
          <c:showLegendKey val="0"/>
          <c:showVal val="1"/>
          <c:showCatName val="0"/>
          <c:showSerName val="0"/>
          <c:showPercent val="0"/>
          <c:showBubbleSize val="0"/>
        </c:dLbls>
        <c:dropLines>
          <c:spPr>
            <a:ln w="15875" cap="flat" cmpd="sng" algn="ctr">
              <a:solidFill>
                <a:schemeClr val="tx1"/>
              </a:solidFill>
              <a:round/>
            </a:ln>
            <a:effectLst/>
          </c:spPr>
        </c:dropLines>
        <c:marker val="1"/>
        <c:smooth val="0"/>
        <c:axId val="741389471"/>
        <c:axId val="741392831"/>
      </c:lineChart>
      <c:catAx>
        <c:axId val="741389471"/>
        <c:scaling>
          <c:orientation val="minMax"/>
        </c:scaling>
        <c:delete val="0"/>
        <c:axPos val="b"/>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30" baseline="0">
                <a:solidFill>
                  <a:srgbClr val="0070C0"/>
                </a:solidFill>
                <a:latin typeface="+mn-lt"/>
                <a:ea typeface="+mn-ea"/>
                <a:cs typeface="+mn-cs"/>
              </a:defRPr>
            </a:pPr>
            <a:endParaRPr lang="en-US"/>
          </a:p>
        </c:txPr>
        <c:crossAx val="741392831"/>
        <c:crosses val="autoZero"/>
        <c:auto val="1"/>
        <c:lblAlgn val="ctr"/>
        <c:lblOffset val="100"/>
        <c:noMultiLvlLbl val="0"/>
      </c:catAx>
      <c:valAx>
        <c:axId val="741392831"/>
        <c:scaling>
          <c:orientation val="minMax"/>
        </c:scaling>
        <c:delete val="1"/>
        <c:axPos val="l"/>
        <c:numFmt formatCode="0" sourceLinked="1"/>
        <c:majorTickMark val="out"/>
        <c:minorTickMark val="none"/>
        <c:tickLblPos val="nextTo"/>
        <c:crossAx val="741389471"/>
        <c:crosses val="autoZero"/>
        <c:crossBetween val="between"/>
      </c:valAx>
      <c:spPr>
        <a:noFill/>
        <a:ln w="22225"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Table!PivotTable2</c:name>
    <c:fmtId val="3"/>
  </c:pivotSource>
  <c:chart>
    <c:autoTitleDeleted val="1"/>
    <c:pivotFmts>
      <c:pivotFmt>
        <c:idx val="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45"/>
              <c:y val="-4.6296296296296294E-3"/>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666666666666657"/>
              <c:y val="4.1666666666666664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333333333333339"/>
              <c:y val="1.8518518518518517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222222222222227"/>
              <c:y val="-2.7777777777777776E-2"/>
            </c:manualLayout>
          </c:layout>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3055555555555545"/>
                  <c:y val="-4.6296296296296294E-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1666666666666657"/>
                  <c:y val="4.1666666666666664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3333333333333339"/>
                  <c:y val="1.8518518518518517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0.12222222222222227"/>
                  <c:y val="-2.7777777777777776E-2"/>
                </c:manualLayout>
              </c:layout>
              <c:showLegendKey val="0"/>
              <c:showVal val="1"/>
              <c:showCatName val="0"/>
              <c:showSerName val="0"/>
              <c:showPercent val="0"/>
              <c:showBubbleSize val="0"/>
              <c:extLst>
                <c:ext xmlns:c15="http://schemas.microsoft.com/office/drawing/2012/chart" uri="{CE6537A1-D6FC-4f65-9D91-7224C49458BB}"/>
              </c:extLst>
            </c:dLbl>
            <c:numFmt formatCode="##\.##,&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9-D2C9-45AF-BE20-87BAEAEF38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Table!PivotTable4</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9836836213858E-3"/>
          <c:y val="7.3650807458594078E-2"/>
          <c:w val="0.98883685038305891"/>
          <c:h val="0.84294762709929272"/>
        </c:manualLayout>
      </c:layout>
      <c:barChart>
        <c:barDir val="col"/>
        <c:grouping val="clustered"/>
        <c:varyColors val="0"/>
        <c:ser>
          <c:idx val="0"/>
          <c:order val="0"/>
          <c:tx>
            <c:strRef>
              <c:f>'Pivot Table'!$I$3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Table'!$I$4:$I$14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0F2-4D25-A91E-06CA8D04FE35}"/>
            </c:ext>
          </c:extLst>
        </c:ser>
        <c:dLbls>
          <c:showLegendKey val="0"/>
          <c:showVal val="0"/>
          <c:showCatName val="0"/>
          <c:showSerName val="0"/>
          <c:showPercent val="0"/>
          <c:showBubbleSize val="0"/>
        </c:dLbls>
        <c:gapWidth val="73"/>
        <c:overlap val="-27"/>
        <c:axId val="722814495"/>
        <c:axId val="722814975"/>
      </c:barChart>
      <c:catAx>
        <c:axId val="722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14975"/>
        <c:crosses val="autoZero"/>
        <c:auto val="1"/>
        <c:lblAlgn val="ctr"/>
        <c:lblOffset val="100"/>
        <c:noMultiLvlLbl val="0"/>
      </c:catAx>
      <c:valAx>
        <c:axId val="722814975"/>
        <c:scaling>
          <c:orientation val="minMax"/>
        </c:scaling>
        <c:delete val="1"/>
        <c:axPos val="l"/>
        <c:numFmt formatCode="##\.##,&quot;L&quot;" sourceLinked="1"/>
        <c:majorTickMark val="none"/>
        <c:minorTickMark val="none"/>
        <c:tickLblPos val="nextTo"/>
        <c:crossAx val="72281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2024.xlsx]Pivot Table!PivotTable3</c:name>
    <c:fmtId val="7"/>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566929133858"/>
          <c:y val="0.12860892388451445"/>
          <c:w val="0.66104330708661418"/>
          <c:h val="0.80657626130067073"/>
        </c:manualLayout>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7DEC-46EF-AAAC-2EBA322AC417}"/>
            </c:ext>
          </c:extLst>
        </c:ser>
        <c:dLbls>
          <c:dLblPos val="outEnd"/>
          <c:showLegendKey val="0"/>
          <c:showVal val="1"/>
          <c:showCatName val="0"/>
          <c:showSerName val="0"/>
          <c:showPercent val="0"/>
          <c:showBubbleSize val="0"/>
        </c:dLbls>
        <c:gapWidth val="50"/>
        <c:axId val="722803935"/>
        <c:axId val="722792415"/>
      </c:barChart>
      <c:catAx>
        <c:axId val="7228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92415"/>
        <c:crosses val="autoZero"/>
        <c:auto val="1"/>
        <c:lblAlgn val="ctr"/>
        <c:lblOffset val="100"/>
        <c:noMultiLvlLbl val="0"/>
      </c:catAx>
      <c:valAx>
        <c:axId val="722792415"/>
        <c:scaling>
          <c:orientation val="minMax"/>
        </c:scaling>
        <c:delete val="1"/>
        <c:axPos val="b"/>
        <c:numFmt formatCode="##\.##,&quot;L&quot;" sourceLinked="1"/>
        <c:majorTickMark val="out"/>
        <c:minorTickMark val="none"/>
        <c:tickLblPos val="nextTo"/>
        <c:crossAx val="7228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179070</xdr:rowOff>
    </xdr:from>
    <xdr:to>
      <xdr:col>5</xdr:col>
      <xdr:colOff>45720</xdr:colOff>
      <xdr:row>30</xdr:row>
      <xdr:rowOff>179070</xdr:rowOff>
    </xdr:to>
    <xdr:graphicFrame macro="">
      <xdr:nvGraphicFramePr>
        <xdr:cNvPr id="2" name="Chart 1">
          <a:extLst>
            <a:ext uri="{FF2B5EF4-FFF2-40B4-BE49-F238E27FC236}">
              <a16:creationId xmlns:a16="http://schemas.microsoft.com/office/drawing/2014/main" id="{B2F4750B-5329-4353-069A-3AB72A4BD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16</xdr:row>
      <xdr:rowOff>3810</xdr:rowOff>
    </xdr:from>
    <xdr:to>
      <xdr:col>11</xdr:col>
      <xdr:colOff>548640</xdr:colOff>
      <xdr:row>31</xdr:row>
      <xdr:rowOff>3810</xdr:rowOff>
    </xdr:to>
    <xdr:graphicFrame macro="">
      <xdr:nvGraphicFramePr>
        <xdr:cNvPr id="3" name="Chart 2">
          <a:extLst>
            <a:ext uri="{FF2B5EF4-FFF2-40B4-BE49-F238E27FC236}">
              <a16:creationId xmlns:a16="http://schemas.microsoft.com/office/drawing/2014/main" id="{8A9B6FC4-3AA4-E395-D73F-3D3A6BDA3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830580</xdr:colOff>
      <xdr:row>15</xdr:row>
      <xdr:rowOff>179070</xdr:rowOff>
    </xdr:from>
    <xdr:to>
      <xdr:col>18</xdr:col>
      <xdr:colOff>434340</xdr:colOff>
      <xdr:row>30</xdr:row>
      <xdr:rowOff>179070</xdr:rowOff>
    </xdr:to>
    <xdr:graphicFrame macro="">
      <xdr:nvGraphicFramePr>
        <xdr:cNvPr id="4" name="Chart 3">
          <a:extLst>
            <a:ext uri="{FF2B5EF4-FFF2-40B4-BE49-F238E27FC236}">
              <a16:creationId xmlns:a16="http://schemas.microsoft.com/office/drawing/2014/main" id="{06AEC6FC-2F35-A515-31DF-AEDB83E80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403860</xdr:colOff>
      <xdr:row>16</xdr:row>
      <xdr:rowOff>34290</xdr:rowOff>
    </xdr:from>
    <xdr:to>
      <xdr:col>27</xdr:col>
      <xdr:colOff>99060</xdr:colOff>
      <xdr:row>31</xdr:row>
      <xdr:rowOff>34290</xdr:rowOff>
    </xdr:to>
    <xdr:graphicFrame macro="">
      <xdr:nvGraphicFramePr>
        <xdr:cNvPr id="5" name="Chart 4">
          <a:extLst>
            <a:ext uri="{FF2B5EF4-FFF2-40B4-BE49-F238E27FC236}">
              <a16:creationId xmlns:a16="http://schemas.microsoft.com/office/drawing/2014/main" id="{877A7A66-A14C-C708-1A2B-041622315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27167</xdr:colOff>
      <xdr:row>35</xdr:row>
      <xdr:rowOff>145111</xdr:rowOff>
    </xdr:from>
    <xdr:to>
      <xdr:col>14</xdr:col>
      <xdr:colOff>174121</xdr:colOff>
      <xdr:row>45</xdr:row>
      <xdr:rowOff>17517</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7ABB2F72-49D5-5752-8005-D2070BC3EC5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9959443" y="6582697"/>
              <a:ext cx="1837368" cy="1711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59967</xdr:colOff>
      <xdr:row>36</xdr:row>
      <xdr:rowOff>95085</xdr:rowOff>
    </xdr:from>
    <xdr:to>
      <xdr:col>7</xdr:col>
      <xdr:colOff>662940</xdr:colOff>
      <xdr:row>41</xdr:row>
      <xdr:rowOff>96345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10E18B4-1383-E072-1D38-064528292B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67001" y="6716602"/>
              <a:ext cx="1829180" cy="920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36</xdr:row>
      <xdr:rowOff>45059</xdr:rowOff>
    </xdr:from>
    <xdr:to>
      <xdr:col>10</xdr:col>
      <xdr:colOff>545700</xdr:colOff>
      <xdr:row>44</xdr:row>
      <xdr:rowOff>61310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70E04D10-1629-4D0E-4179-9F049D7C6B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66303" y="6666576"/>
              <a:ext cx="1822707" cy="148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104571</xdr:colOff>
      <xdr:row>6</xdr:row>
      <xdr:rowOff>25743</xdr:rowOff>
    </xdr:from>
    <xdr:to>
      <xdr:col>4</xdr:col>
      <xdr:colOff>537585</xdr:colOff>
      <xdr:row>11</xdr:row>
      <xdr:rowOff>21021</xdr:rowOff>
    </xdr:to>
    <xdr:grpSp>
      <xdr:nvGrpSpPr>
        <xdr:cNvPr id="8" name="Group 7">
          <a:extLst>
            <a:ext uri="{FF2B5EF4-FFF2-40B4-BE49-F238E27FC236}">
              <a16:creationId xmlns:a16="http://schemas.microsoft.com/office/drawing/2014/main" id="{18116456-262D-CF7F-C26C-BB99860D51EB}"/>
            </a:ext>
          </a:extLst>
        </xdr:cNvPr>
        <xdr:cNvGrpSpPr/>
      </xdr:nvGrpSpPr>
      <xdr:grpSpPr>
        <a:xfrm>
          <a:off x="710263" y="1139435"/>
          <a:ext cx="2250091" cy="923355"/>
          <a:chOff x="676071" y="1143000"/>
          <a:chExt cx="2255635" cy="922035"/>
        </a:xfrm>
      </xdr:grpSpPr>
      <xdr:sp macro="" textlink="">
        <xdr:nvSpPr>
          <xdr:cNvPr id="3" name="Rectangle: Rounded Corners 2">
            <a:extLst>
              <a:ext uri="{FF2B5EF4-FFF2-40B4-BE49-F238E27FC236}">
                <a16:creationId xmlns:a16="http://schemas.microsoft.com/office/drawing/2014/main" id="{F7B8F608-18AA-CFEF-3121-B312B25AA455}"/>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7CE847C4-F7A4-DFE2-05D2-215D6A664787}"/>
              </a:ext>
            </a:extLst>
          </xdr:cNvPr>
          <xdr:cNvGrpSpPr/>
        </xdr:nvGrpSpPr>
        <xdr:grpSpPr>
          <a:xfrm>
            <a:off x="676071" y="1143000"/>
            <a:ext cx="2053636" cy="922035"/>
            <a:chOff x="676071" y="1143000"/>
            <a:chExt cx="2053636" cy="922035"/>
          </a:xfrm>
        </xdr:grpSpPr>
        <xdr:sp macro="" textlink="">
          <xdr:nvSpPr>
            <xdr:cNvPr id="4" name="Rectangle: Rounded Corners 3">
              <a:extLst>
                <a:ext uri="{FF2B5EF4-FFF2-40B4-BE49-F238E27FC236}">
                  <a16:creationId xmlns:a16="http://schemas.microsoft.com/office/drawing/2014/main" id="{B95174E2-86B4-43F7-A2CC-2F7BA18EBF80}"/>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5" name="TextBox 4">
              <a:extLst>
                <a:ext uri="{FF2B5EF4-FFF2-40B4-BE49-F238E27FC236}">
                  <a16:creationId xmlns:a16="http://schemas.microsoft.com/office/drawing/2014/main" id="{88BEB528-FADB-FFC0-D2EE-B531D220446F}"/>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TOTAL SALES</a:t>
              </a:r>
            </a:p>
          </xdr:txBody>
        </xdr:sp>
        <xdr:sp macro="" textlink="SalesData!K2">
          <xdr:nvSpPr>
            <xdr:cNvPr id="6" name="TextBox 5">
              <a:extLst>
                <a:ext uri="{FF2B5EF4-FFF2-40B4-BE49-F238E27FC236}">
                  <a16:creationId xmlns:a16="http://schemas.microsoft.com/office/drawing/2014/main" id="{2188EA93-55FB-8615-AD84-296BAFB8C250}"/>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2FFCF4-E51E-40F1-9C33-B5E6BEAD01AA}" type="TxLink">
                <a:rPr lang="en-US" sz="1400" b="1" i="0" u="none" strike="noStrike">
                  <a:solidFill>
                    <a:schemeClr val="accent6"/>
                  </a:solidFill>
                  <a:latin typeface="Aptos Narrow"/>
                </a:rPr>
                <a:t> 1,29,44,500 </a:t>
              </a:fld>
              <a:endParaRPr lang="en-US" sz="1400" b="1">
                <a:solidFill>
                  <a:schemeClr val="accent6"/>
                </a:solidFill>
              </a:endParaRPr>
            </a:p>
          </xdr:txBody>
        </xdr:sp>
      </xdr:grpSp>
    </xdr:grpSp>
    <xdr:clientData/>
  </xdr:twoCellAnchor>
  <xdr:twoCellAnchor>
    <xdr:from>
      <xdr:col>5</xdr:col>
      <xdr:colOff>140611</xdr:colOff>
      <xdr:row>6</xdr:row>
      <xdr:rowOff>25743</xdr:rowOff>
    </xdr:from>
    <xdr:to>
      <xdr:col>8</xdr:col>
      <xdr:colOff>573625</xdr:colOff>
      <xdr:row>11</xdr:row>
      <xdr:rowOff>21021</xdr:rowOff>
    </xdr:to>
    <xdr:grpSp>
      <xdr:nvGrpSpPr>
        <xdr:cNvPr id="9" name="Group 8">
          <a:extLst>
            <a:ext uri="{FF2B5EF4-FFF2-40B4-BE49-F238E27FC236}">
              <a16:creationId xmlns:a16="http://schemas.microsoft.com/office/drawing/2014/main" id="{12C1F17C-1121-1A0A-76DE-772E937E93A1}"/>
            </a:ext>
          </a:extLst>
        </xdr:cNvPr>
        <xdr:cNvGrpSpPr/>
      </xdr:nvGrpSpPr>
      <xdr:grpSpPr>
        <a:xfrm>
          <a:off x="3169073" y="1139435"/>
          <a:ext cx="2250090" cy="923355"/>
          <a:chOff x="676071" y="1143000"/>
          <a:chExt cx="2255635" cy="922035"/>
        </a:xfrm>
      </xdr:grpSpPr>
      <xdr:sp macro="" textlink="">
        <xdr:nvSpPr>
          <xdr:cNvPr id="10" name="Rectangle: Rounded Corners 9">
            <a:extLst>
              <a:ext uri="{FF2B5EF4-FFF2-40B4-BE49-F238E27FC236}">
                <a16:creationId xmlns:a16="http://schemas.microsoft.com/office/drawing/2014/main" id="{F18FA50A-C0B5-40DA-D113-03A9C388F980}"/>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FDB24916-97D1-A286-F7EB-27FDF749BC00}"/>
              </a:ext>
            </a:extLst>
          </xdr:cNvPr>
          <xdr:cNvGrpSpPr/>
        </xdr:nvGrpSpPr>
        <xdr:grpSpPr>
          <a:xfrm>
            <a:off x="676071" y="1143000"/>
            <a:ext cx="2053636" cy="922035"/>
            <a:chOff x="676071" y="1143000"/>
            <a:chExt cx="2053636" cy="922035"/>
          </a:xfrm>
        </xdr:grpSpPr>
        <xdr:sp macro="" textlink="">
          <xdr:nvSpPr>
            <xdr:cNvPr id="12" name="Rectangle: Rounded Corners 11">
              <a:extLst>
                <a:ext uri="{FF2B5EF4-FFF2-40B4-BE49-F238E27FC236}">
                  <a16:creationId xmlns:a16="http://schemas.microsoft.com/office/drawing/2014/main" id="{AFAC986C-DB74-33BE-F9FF-574B1980B58F}"/>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13" name="TextBox 12">
              <a:extLst>
                <a:ext uri="{FF2B5EF4-FFF2-40B4-BE49-F238E27FC236}">
                  <a16:creationId xmlns:a16="http://schemas.microsoft.com/office/drawing/2014/main" id="{DB921A1D-F1AE-363A-3F5A-F71711E9B85B}"/>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AVERAGE</a:t>
              </a:r>
              <a:r>
                <a:rPr lang="en-IN" sz="1100" b="1" baseline="0">
                  <a:solidFill>
                    <a:schemeClr val="accent6"/>
                  </a:solidFill>
                </a:rPr>
                <a:t> SALES</a:t>
              </a:r>
              <a:endParaRPr lang="en-IN" sz="1100" b="1">
                <a:solidFill>
                  <a:schemeClr val="accent6"/>
                </a:solidFill>
              </a:endParaRPr>
            </a:p>
          </xdr:txBody>
        </xdr:sp>
        <xdr:sp macro="" textlink="SalesData!N2">
          <xdr:nvSpPr>
            <xdr:cNvPr id="14" name="TextBox 13">
              <a:extLst>
                <a:ext uri="{FF2B5EF4-FFF2-40B4-BE49-F238E27FC236}">
                  <a16:creationId xmlns:a16="http://schemas.microsoft.com/office/drawing/2014/main" id="{75C3A718-0F7C-C5D8-844A-94AEE2FBB59C}"/>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85DE23-1783-4735-8388-BB3732B161A9}" type="TxLink">
                <a:rPr lang="en-US" sz="1100" b="1" i="0" u="none" strike="noStrike">
                  <a:solidFill>
                    <a:schemeClr val="accent6"/>
                  </a:solidFill>
                  <a:latin typeface="Aptos Narrow"/>
                </a:rPr>
                <a:t> 2,58,890 </a:t>
              </a:fld>
              <a:endParaRPr lang="en-US" sz="1400" b="1">
                <a:solidFill>
                  <a:schemeClr val="accent6"/>
                </a:solidFill>
              </a:endParaRPr>
            </a:p>
          </xdr:txBody>
        </xdr:sp>
      </xdr:grpSp>
    </xdr:grpSp>
    <xdr:clientData/>
  </xdr:twoCellAnchor>
  <xdr:twoCellAnchor>
    <xdr:from>
      <xdr:col>9</xdr:col>
      <xdr:colOff>114868</xdr:colOff>
      <xdr:row>6</xdr:row>
      <xdr:rowOff>25743</xdr:rowOff>
    </xdr:from>
    <xdr:to>
      <xdr:col>12</xdr:col>
      <xdr:colOff>547882</xdr:colOff>
      <xdr:row>11</xdr:row>
      <xdr:rowOff>21021</xdr:rowOff>
    </xdr:to>
    <xdr:grpSp>
      <xdr:nvGrpSpPr>
        <xdr:cNvPr id="15" name="Group 14">
          <a:extLst>
            <a:ext uri="{FF2B5EF4-FFF2-40B4-BE49-F238E27FC236}">
              <a16:creationId xmlns:a16="http://schemas.microsoft.com/office/drawing/2014/main" id="{CE4E3D8A-4A0E-D83C-3A95-13E4633C41F4}"/>
            </a:ext>
          </a:extLst>
        </xdr:cNvPr>
        <xdr:cNvGrpSpPr/>
      </xdr:nvGrpSpPr>
      <xdr:grpSpPr>
        <a:xfrm>
          <a:off x="5566099" y="1139435"/>
          <a:ext cx="2250091" cy="923355"/>
          <a:chOff x="676071" y="1143000"/>
          <a:chExt cx="2255635" cy="922035"/>
        </a:xfrm>
      </xdr:grpSpPr>
      <xdr:sp macro="" textlink="">
        <xdr:nvSpPr>
          <xdr:cNvPr id="16" name="Rectangle: Rounded Corners 15">
            <a:extLst>
              <a:ext uri="{FF2B5EF4-FFF2-40B4-BE49-F238E27FC236}">
                <a16:creationId xmlns:a16="http://schemas.microsoft.com/office/drawing/2014/main" id="{92BF0E7B-8645-9E4F-89B9-FA26FA78E458}"/>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0FB88C18-76AC-C441-512B-4E0EAF79B2A6}"/>
              </a:ext>
            </a:extLst>
          </xdr:cNvPr>
          <xdr:cNvGrpSpPr/>
        </xdr:nvGrpSpPr>
        <xdr:grpSpPr>
          <a:xfrm>
            <a:off x="676071" y="1143000"/>
            <a:ext cx="2053636" cy="922035"/>
            <a:chOff x="676071" y="1143000"/>
            <a:chExt cx="2053636" cy="922035"/>
          </a:xfrm>
        </xdr:grpSpPr>
        <xdr:sp macro="" textlink="">
          <xdr:nvSpPr>
            <xdr:cNvPr id="18" name="Rectangle: Rounded Corners 17">
              <a:extLst>
                <a:ext uri="{FF2B5EF4-FFF2-40B4-BE49-F238E27FC236}">
                  <a16:creationId xmlns:a16="http://schemas.microsoft.com/office/drawing/2014/main" id="{13978F81-1F74-7234-63DA-35AA3C74C037}"/>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19" name="TextBox 18">
              <a:extLst>
                <a:ext uri="{FF2B5EF4-FFF2-40B4-BE49-F238E27FC236}">
                  <a16:creationId xmlns:a16="http://schemas.microsoft.com/office/drawing/2014/main" id="{D2F91404-08A1-310E-A2F5-A99244B7F66E}"/>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UNIT</a:t>
              </a:r>
              <a:r>
                <a:rPr lang="en-IN" sz="1100" b="1" baseline="0">
                  <a:solidFill>
                    <a:schemeClr val="accent6"/>
                  </a:solidFill>
                </a:rPr>
                <a:t> SOLD</a:t>
              </a:r>
              <a:endParaRPr lang="en-IN" sz="1100" b="1">
                <a:solidFill>
                  <a:schemeClr val="accent6"/>
                </a:solidFill>
              </a:endParaRPr>
            </a:p>
          </xdr:txBody>
        </xdr:sp>
        <xdr:sp macro="" textlink="SalesData!L2">
          <xdr:nvSpPr>
            <xdr:cNvPr id="20" name="TextBox 19">
              <a:extLst>
                <a:ext uri="{FF2B5EF4-FFF2-40B4-BE49-F238E27FC236}">
                  <a16:creationId xmlns:a16="http://schemas.microsoft.com/office/drawing/2014/main" id="{318D6E5B-5627-D1EC-D511-9693E2F71524}"/>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D330A-0EAC-4D4C-96EA-FA21D03D4F58}" type="TxLink">
                <a:rPr lang="en-US" sz="1100" b="1" i="0" u="none" strike="noStrike">
                  <a:solidFill>
                    <a:schemeClr val="accent6"/>
                  </a:solidFill>
                  <a:latin typeface="Aptos Narrow"/>
                </a:rPr>
                <a:t>4705</a:t>
              </a:fld>
              <a:endParaRPr lang="en-US" sz="1400" b="1">
                <a:solidFill>
                  <a:schemeClr val="accent6"/>
                </a:solidFill>
              </a:endParaRPr>
            </a:p>
          </xdr:txBody>
        </xdr:sp>
      </xdr:grpSp>
    </xdr:grpSp>
    <xdr:clientData/>
  </xdr:twoCellAnchor>
  <xdr:twoCellAnchor>
    <xdr:from>
      <xdr:col>13</xdr:col>
      <xdr:colOff>150909</xdr:colOff>
      <xdr:row>6</xdr:row>
      <xdr:rowOff>25743</xdr:rowOff>
    </xdr:from>
    <xdr:to>
      <xdr:col>16</xdr:col>
      <xdr:colOff>583922</xdr:colOff>
      <xdr:row>11</xdr:row>
      <xdr:rowOff>21021</xdr:rowOff>
    </xdr:to>
    <xdr:grpSp>
      <xdr:nvGrpSpPr>
        <xdr:cNvPr id="21" name="Group 20">
          <a:extLst>
            <a:ext uri="{FF2B5EF4-FFF2-40B4-BE49-F238E27FC236}">
              <a16:creationId xmlns:a16="http://schemas.microsoft.com/office/drawing/2014/main" id="{13DF895E-61E4-9AF3-F849-3CCA96FDABF8}"/>
            </a:ext>
          </a:extLst>
        </xdr:cNvPr>
        <xdr:cNvGrpSpPr/>
      </xdr:nvGrpSpPr>
      <xdr:grpSpPr>
        <a:xfrm>
          <a:off x="8024909" y="1139435"/>
          <a:ext cx="2250090" cy="923355"/>
          <a:chOff x="676071" y="1143000"/>
          <a:chExt cx="2255635" cy="922035"/>
        </a:xfrm>
      </xdr:grpSpPr>
      <xdr:sp macro="" textlink="">
        <xdr:nvSpPr>
          <xdr:cNvPr id="22" name="Rectangle: Rounded Corners 21">
            <a:extLst>
              <a:ext uri="{FF2B5EF4-FFF2-40B4-BE49-F238E27FC236}">
                <a16:creationId xmlns:a16="http://schemas.microsoft.com/office/drawing/2014/main" id="{4EAC9D74-DF98-6212-EB94-60073D00BA55}"/>
              </a:ext>
            </a:extLst>
          </xdr:cNvPr>
          <xdr:cNvSpPr/>
        </xdr:nvSpPr>
        <xdr:spPr>
          <a:xfrm>
            <a:off x="676812" y="1146744"/>
            <a:ext cx="2254894" cy="91752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9DAA0401-8793-BD28-37E8-E20B1B2DEC7F}"/>
              </a:ext>
            </a:extLst>
          </xdr:cNvPr>
          <xdr:cNvGrpSpPr/>
        </xdr:nvGrpSpPr>
        <xdr:grpSpPr>
          <a:xfrm>
            <a:off x="676071" y="1143000"/>
            <a:ext cx="2053636" cy="922035"/>
            <a:chOff x="676071" y="1143000"/>
            <a:chExt cx="2053636" cy="922035"/>
          </a:xfrm>
        </xdr:grpSpPr>
        <xdr:sp macro="" textlink="">
          <xdr:nvSpPr>
            <xdr:cNvPr id="24" name="Rectangle: Rounded Corners 23">
              <a:extLst>
                <a:ext uri="{FF2B5EF4-FFF2-40B4-BE49-F238E27FC236}">
                  <a16:creationId xmlns:a16="http://schemas.microsoft.com/office/drawing/2014/main" id="{7BDC1029-10FF-2EE3-4124-CE7E7CDBB917}"/>
                </a:ext>
              </a:extLst>
            </xdr:cNvPr>
            <xdr:cNvSpPr/>
          </xdr:nvSpPr>
          <xdr:spPr>
            <a:xfrm>
              <a:off x="676071" y="1143000"/>
              <a:ext cx="612795" cy="922035"/>
            </a:xfrm>
            <a:prstGeom prst="roundRect">
              <a:avLst>
                <a:gd name="adj" fmla="val 24345"/>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solidFill>
              </a:endParaRPr>
            </a:p>
          </xdr:txBody>
        </xdr:sp>
        <xdr:sp macro="" textlink="">
          <xdr:nvSpPr>
            <xdr:cNvPr id="25" name="TextBox 24">
              <a:extLst>
                <a:ext uri="{FF2B5EF4-FFF2-40B4-BE49-F238E27FC236}">
                  <a16:creationId xmlns:a16="http://schemas.microsoft.com/office/drawing/2014/main" id="{86C65B14-98BE-F1C7-7F81-20F05A9AF0F0}"/>
                </a:ext>
              </a:extLst>
            </xdr:cNvPr>
            <xdr:cNvSpPr txBox="1"/>
          </xdr:nvSpPr>
          <xdr:spPr>
            <a:xfrm>
              <a:off x="1477840" y="1227722"/>
              <a:ext cx="1251867" cy="28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rPr>
                <a:t>PROFIT</a:t>
              </a:r>
            </a:p>
          </xdr:txBody>
        </xdr:sp>
        <xdr:sp macro="" textlink="SalesData!M2">
          <xdr:nvSpPr>
            <xdr:cNvPr id="26" name="TextBox 25">
              <a:extLst>
                <a:ext uri="{FF2B5EF4-FFF2-40B4-BE49-F238E27FC236}">
                  <a16:creationId xmlns:a16="http://schemas.microsoft.com/office/drawing/2014/main" id="{065DABFE-C191-7434-5EBD-FD1ACD46446B}"/>
                </a:ext>
              </a:extLst>
            </xdr:cNvPr>
            <xdr:cNvSpPr txBox="1"/>
          </xdr:nvSpPr>
          <xdr:spPr>
            <a:xfrm>
              <a:off x="1427874" y="1510685"/>
              <a:ext cx="1291504" cy="232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E47465-EDE2-4EB4-90B3-F1F2F503E0DC}" type="TxLink">
                <a:rPr lang="en-US" sz="1100" b="1" i="0" u="none" strike="noStrike">
                  <a:solidFill>
                    <a:schemeClr val="accent6"/>
                  </a:solidFill>
                  <a:latin typeface="Aptos Narrow"/>
                </a:rPr>
                <a:t> 1,29,44,500 </a:t>
              </a:fld>
              <a:endParaRPr lang="en-US" sz="1400" b="1">
                <a:solidFill>
                  <a:schemeClr val="accent6"/>
                </a:solidFill>
              </a:endParaRPr>
            </a:p>
          </xdr:txBody>
        </xdr:sp>
      </xdr:grpSp>
    </xdr:grpSp>
    <xdr:clientData/>
  </xdr:twoCellAnchor>
  <xdr:twoCellAnchor editAs="oneCell">
    <xdr:from>
      <xdr:col>9</xdr:col>
      <xdr:colOff>154610</xdr:colOff>
      <xdr:row>7</xdr:row>
      <xdr:rowOff>11044</xdr:rowOff>
    </xdr:from>
    <xdr:to>
      <xdr:col>10</xdr:col>
      <xdr:colOff>88349</xdr:colOff>
      <xdr:row>9</xdr:row>
      <xdr:rowOff>176696</xdr:rowOff>
    </xdr:to>
    <xdr:pic>
      <xdr:nvPicPr>
        <xdr:cNvPr id="29" name="Graphic 28" descr="Gold bars with solid fill">
          <a:extLst>
            <a:ext uri="{FF2B5EF4-FFF2-40B4-BE49-F238E27FC236}">
              <a16:creationId xmlns:a16="http://schemas.microsoft.com/office/drawing/2014/main" id="{844EE583-207B-4DD6-EEC3-3F6355E94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21132" y="1325218"/>
          <a:ext cx="541130" cy="541130"/>
        </a:xfrm>
        <a:prstGeom prst="rect">
          <a:avLst/>
        </a:prstGeom>
      </xdr:spPr>
    </xdr:pic>
    <xdr:clientData/>
  </xdr:twoCellAnchor>
  <xdr:twoCellAnchor editAs="oneCell">
    <xdr:from>
      <xdr:col>5</xdr:col>
      <xdr:colOff>172088</xdr:colOff>
      <xdr:row>7</xdr:row>
      <xdr:rowOff>28522</xdr:rowOff>
    </xdr:from>
    <xdr:to>
      <xdr:col>6</xdr:col>
      <xdr:colOff>99392</xdr:colOff>
      <xdr:row>10</xdr:row>
      <xdr:rowOff>0</xdr:rowOff>
    </xdr:to>
    <xdr:pic>
      <xdr:nvPicPr>
        <xdr:cNvPr id="31" name="Graphic 30" descr="Coins outline">
          <a:extLst>
            <a:ext uri="{FF2B5EF4-FFF2-40B4-BE49-F238E27FC236}">
              <a16:creationId xmlns:a16="http://schemas.microsoft.com/office/drawing/2014/main" id="{B36F93B6-450E-4FC3-8C5D-3DBE546B39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09045" y="1342696"/>
          <a:ext cx="534695" cy="534695"/>
        </a:xfrm>
        <a:prstGeom prst="rect">
          <a:avLst/>
        </a:prstGeom>
      </xdr:spPr>
    </xdr:pic>
    <xdr:clientData/>
  </xdr:twoCellAnchor>
  <xdr:twoCellAnchor editAs="oneCell">
    <xdr:from>
      <xdr:col>1</xdr:col>
      <xdr:colOff>162870</xdr:colOff>
      <xdr:row>7</xdr:row>
      <xdr:rowOff>118694</xdr:rowOff>
    </xdr:from>
    <xdr:to>
      <xdr:col>2</xdr:col>
      <xdr:colOff>1</xdr:colOff>
      <xdr:row>10</xdr:row>
      <xdr:rowOff>0</xdr:rowOff>
    </xdr:to>
    <xdr:pic>
      <xdr:nvPicPr>
        <xdr:cNvPr id="35" name="Graphic 34" descr="Rupee with solid fill">
          <a:extLst>
            <a:ext uri="{FF2B5EF4-FFF2-40B4-BE49-F238E27FC236}">
              <a16:creationId xmlns:a16="http://schemas.microsoft.com/office/drawing/2014/main" id="{68EC4166-8F49-88B1-4B8F-94D78B357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0261" y="1432868"/>
          <a:ext cx="444523" cy="444523"/>
        </a:xfrm>
        <a:prstGeom prst="rect">
          <a:avLst/>
        </a:prstGeom>
      </xdr:spPr>
    </xdr:pic>
    <xdr:clientData/>
  </xdr:twoCellAnchor>
  <xdr:twoCellAnchor editAs="oneCell">
    <xdr:from>
      <xdr:col>13</xdr:col>
      <xdr:colOff>206127</xdr:colOff>
      <xdr:row>7</xdr:row>
      <xdr:rowOff>69917</xdr:rowOff>
    </xdr:from>
    <xdr:to>
      <xdr:col>14</xdr:col>
      <xdr:colOff>80993</xdr:colOff>
      <xdr:row>9</xdr:row>
      <xdr:rowOff>176696</xdr:rowOff>
    </xdr:to>
    <xdr:pic>
      <xdr:nvPicPr>
        <xdr:cNvPr id="38" name="Graphic 37" descr="Upward trend with solid fill">
          <a:extLst>
            <a:ext uri="{FF2B5EF4-FFF2-40B4-BE49-F238E27FC236}">
              <a16:creationId xmlns:a16="http://schemas.microsoft.com/office/drawing/2014/main" id="{7D328F31-0E90-46BD-BB74-78913B73EA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02214" y="1384091"/>
          <a:ext cx="482257" cy="482257"/>
        </a:xfrm>
        <a:prstGeom prst="rect">
          <a:avLst/>
        </a:prstGeom>
      </xdr:spPr>
    </xdr:pic>
    <xdr:clientData/>
  </xdr:twoCellAnchor>
  <xdr:twoCellAnchor>
    <xdr:from>
      <xdr:col>1</xdr:col>
      <xdr:colOff>101521</xdr:colOff>
      <xdr:row>1</xdr:row>
      <xdr:rowOff>16054</xdr:rowOff>
    </xdr:from>
    <xdr:to>
      <xdr:col>20</xdr:col>
      <xdr:colOff>507121</xdr:colOff>
      <xdr:row>5</xdr:row>
      <xdr:rowOff>116961</xdr:rowOff>
    </xdr:to>
    <xdr:grpSp>
      <xdr:nvGrpSpPr>
        <xdr:cNvPr id="41" name="Group 40">
          <a:extLst>
            <a:ext uri="{FF2B5EF4-FFF2-40B4-BE49-F238E27FC236}">
              <a16:creationId xmlns:a16="http://schemas.microsoft.com/office/drawing/2014/main" id="{ED736A65-F944-9694-6731-E823A17974F1}"/>
            </a:ext>
          </a:extLst>
        </xdr:cNvPr>
        <xdr:cNvGrpSpPr/>
      </xdr:nvGrpSpPr>
      <xdr:grpSpPr>
        <a:xfrm>
          <a:off x="707213" y="201669"/>
          <a:ext cx="11913754" cy="843369"/>
          <a:chOff x="222999" y="170662"/>
          <a:chExt cx="11946035" cy="851864"/>
        </a:xfrm>
      </xdr:grpSpPr>
      <xdr:sp macro="" textlink="">
        <xdr:nvSpPr>
          <xdr:cNvPr id="2" name="Rectangle: Rounded Corners 1">
            <a:extLst>
              <a:ext uri="{FF2B5EF4-FFF2-40B4-BE49-F238E27FC236}">
                <a16:creationId xmlns:a16="http://schemas.microsoft.com/office/drawing/2014/main" id="{07816BAC-5206-FE14-3082-7E70A14FAC7E}"/>
              </a:ext>
            </a:extLst>
          </xdr:cNvPr>
          <xdr:cNvSpPr/>
        </xdr:nvSpPr>
        <xdr:spPr>
          <a:xfrm>
            <a:off x="222999" y="170662"/>
            <a:ext cx="11946035" cy="85186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B3A4505F-A131-0F7A-313E-D248E53C9161}"/>
              </a:ext>
            </a:extLst>
          </xdr:cNvPr>
          <xdr:cNvSpPr txBox="1"/>
        </xdr:nvSpPr>
        <xdr:spPr>
          <a:xfrm>
            <a:off x="4052957" y="242957"/>
            <a:ext cx="3898347" cy="519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6"/>
                </a:solidFill>
              </a:rPr>
              <a:t>SALES DASHBOARD</a:t>
            </a:r>
          </a:p>
        </xdr:txBody>
      </xdr:sp>
      <xdr:pic>
        <xdr:nvPicPr>
          <xdr:cNvPr id="40" name="Picture 39" descr="Graphs and charts">
            <a:extLst>
              <a:ext uri="{FF2B5EF4-FFF2-40B4-BE49-F238E27FC236}">
                <a16:creationId xmlns:a16="http://schemas.microsoft.com/office/drawing/2014/main" id="{1525C7E1-5351-4FE5-385C-37CF42DCCB9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50435" y="276086"/>
            <a:ext cx="1281044" cy="675550"/>
          </a:xfrm>
          <a:prstGeom prst="rect">
            <a:avLst/>
          </a:prstGeom>
          <a:solidFill>
            <a:schemeClr val="tx1"/>
          </a:solidFill>
        </xdr:spPr>
      </xdr:pic>
    </xdr:grpSp>
    <xdr:clientData/>
  </xdr:twoCellAnchor>
  <xdr:twoCellAnchor editAs="oneCell">
    <xdr:from>
      <xdr:col>17</xdr:col>
      <xdr:colOff>219958</xdr:colOff>
      <xdr:row>6</xdr:row>
      <xdr:rowOff>23568</xdr:rowOff>
    </xdr:from>
    <xdr:to>
      <xdr:col>20</xdr:col>
      <xdr:colOff>479196</xdr:colOff>
      <xdr:row>11</xdr:row>
      <xdr:rowOff>0</xdr:rowOff>
    </xdr:to>
    <mc:AlternateContent xmlns:mc="http://schemas.openxmlformats.org/markup-compatibility/2006">
      <mc:Choice xmlns:a14="http://schemas.microsoft.com/office/drawing/2010/main" Requires="a14">
        <xdr:graphicFrame macro="">
          <xdr:nvGraphicFramePr>
            <xdr:cNvPr id="42" name="Region 1">
              <a:extLst>
                <a:ext uri="{FF2B5EF4-FFF2-40B4-BE49-F238E27FC236}">
                  <a16:creationId xmlns:a16="http://schemas.microsoft.com/office/drawing/2014/main" id="{85BE58DC-9CD6-4771-9356-82FFBF874C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516727" y="1137260"/>
              <a:ext cx="2076315" cy="904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612605</xdr:colOff>
      <xdr:row>25</xdr:row>
      <xdr:rowOff>172825</xdr:rowOff>
    </xdr:from>
    <xdr:to>
      <xdr:col>3</xdr:col>
      <xdr:colOff>611746</xdr:colOff>
      <xdr:row>44</xdr:row>
      <xdr:rowOff>0</xdr:rowOff>
    </xdr:to>
    <mc:AlternateContent xmlns:mc="http://schemas.openxmlformats.org/markup-compatibility/2006">
      <mc:Choice xmlns:a14="http://schemas.microsoft.com/office/drawing/2010/main" Requires="a14">
        <xdr:graphicFrame macro="">
          <xdr:nvGraphicFramePr>
            <xdr:cNvPr id="43" name="Sales Person 1">
              <a:extLst>
                <a:ext uri="{FF2B5EF4-FFF2-40B4-BE49-F238E27FC236}">
                  <a16:creationId xmlns:a16="http://schemas.microsoft.com/office/drawing/2014/main" id="{21980E64-EBD4-4698-ADDC-881189DC573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612605" y="4813210"/>
              <a:ext cx="1816218" cy="3353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604888</xdr:colOff>
      <xdr:row>12</xdr:row>
      <xdr:rowOff>21033</xdr:rowOff>
    </xdr:from>
    <xdr:to>
      <xdr:col>3</xdr:col>
      <xdr:colOff>589368</xdr:colOff>
      <xdr:row>25</xdr:row>
      <xdr:rowOff>70701</xdr:rowOff>
    </xdr:to>
    <mc:AlternateContent xmlns:mc="http://schemas.openxmlformats.org/markup-compatibility/2006">
      <mc:Choice xmlns:a14="http://schemas.microsoft.com/office/drawing/2010/main" Requires="a14">
        <xdr:graphicFrame macro="">
          <xdr:nvGraphicFramePr>
            <xdr:cNvPr id="44" name="Product 1">
              <a:extLst>
                <a:ext uri="{FF2B5EF4-FFF2-40B4-BE49-F238E27FC236}">
                  <a16:creationId xmlns:a16="http://schemas.microsoft.com/office/drawing/2014/main" id="{ED91A9EE-18F4-4BA8-8055-CEC6B0BCDA8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04888" y="2248418"/>
              <a:ext cx="1801557" cy="2462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176463</xdr:colOff>
      <xdr:row>11</xdr:row>
      <xdr:rowOff>168443</xdr:rowOff>
    </xdr:from>
    <xdr:to>
      <xdr:col>12</xdr:col>
      <xdr:colOff>126368</xdr:colOff>
      <xdr:row>25</xdr:row>
      <xdr:rowOff>152400</xdr:rowOff>
    </xdr:to>
    <xdr:sp macro="" textlink="">
      <xdr:nvSpPr>
        <xdr:cNvPr id="45" name="Rectangle: Rounded Corners 44">
          <a:extLst>
            <a:ext uri="{FF2B5EF4-FFF2-40B4-BE49-F238E27FC236}">
              <a16:creationId xmlns:a16="http://schemas.microsoft.com/office/drawing/2014/main" id="{D9B34B50-1557-4887-B8B5-6D49C7F0AF69}"/>
            </a:ext>
          </a:extLst>
        </xdr:cNvPr>
        <xdr:cNvSpPr/>
      </xdr:nvSpPr>
      <xdr:spPr>
        <a:xfrm>
          <a:off x="2595511" y="2164157"/>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accent6">
                  <a:lumMod val="75000"/>
                </a:schemeClr>
              </a:solidFill>
            </a:rPr>
            <a:t>Unit</a:t>
          </a:r>
          <a:r>
            <a:rPr lang="en-IN" sz="1100" baseline="0">
              <a:solidFill>
                <a:schemeClr val="accent6">
                  <a:lumMod val="75000"/>
                </a:schemeClr>
              </a:solidFill>
            </a:rPr>
            <a:t> Sold by Product</a:t>
          </a:r>
        </a:p>
      </xdr:txBody>
    </xdr:sp>
    <xdr:clientData/>
  </xdr:twoCellAnchor>
  <xdr:twoCellAnchor>
    <xdr:from>
      <xdr:col>4</xdr:col>
      <xdr:colOff>374953</xdr:colOff>
      <xdr:row>12</xdr:row>
      <xdr:rowOff>169332</xdr:rowOff>
    </xdr:from>
    <xdr:to>
      <xdr:col>11</xdr:col>
      <xdr:colOff>544285</xdr:colOff>
      <xdr:row>25</xdr:row>
      <xdr:rowOff>60477</xdr:rowOff>
    </xdr:to>
    <xdr:graphicFrame macro="">
      <xdr:nvGraphicFramePr>
        <xdr:cNvPr id="47" name="Chart 46">
          <a:extLst>
            <a:ext uri="{FF2B5EF4-FFF2-40B4-BE49-F238E27FC236}">
              <a16:creationId xmlns:a16="http://schemas.microsoft.com/office/drawing/2014/main" id="{3D238F62-FD68-494B-87CC-DEE16D87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31320</xdr:colOff>
      <xdr:row>12</xdr:row>
      <xdr:rowOff>35395</xdr:rowOff>
    </xdr:from>
    <xdr:to>
      <xdr:col>20</xdr:col>
      <xdr:colOff>585987</xdr:colOff>
      <xdr:row>26</xdr:row>
      <xdr:rowOff>19352</xdr:rowOff>
    </xdr:to>
    <xdr:sp macro="" textlink="">
      <xdr:nvSpPr>
        <xdr:cNvPr id="53" name="Rectangle: Rounded Corners 52">
          <a:extLst>
            <a:ext uri="{FF2B5EF4-FFF2-40B4-BE49-F238E27FC236}">
              <a16:creationId xmlns:a16="http://schemas.microsoft.com/office/drawing/2014/main" id="{291C1816-1340-534E-8B40-FA580AE72E7C}"/>
            </a:ext>
          </a:extLst>
        </xdr:cNvPr>
        <xdr:cNvSpPr/>
      </xdr:nvSpPr>
      <xdr:spPr>
        <a:xfrm>
          <a:off x="7893225" y="2212538"/>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Region</a:t>
          </a:r>
        </a:p>
      </xdr:txBody>
    </xdr:sp>
    <xdr:clientData/>
  </xdr:twoCellAnchor>
  <xdr:twoCellAnchor>
    <xdr:from>
      <xdr:col>13</xdr:col>
      <xdr:colOff>31320</xdr:colOff>
      <xdr:row>28</xdr:row>
      <xdr:rowOff>180538</xdr:rowOff>
    </xdr:from>
    <xdr:to>
      <xdr:col>20</xdr:col>
      <xdr:colOff>585987</xdr:colOff>
      <xdr:row>42</xdr:row>
      <xdr:rowOff>164495</xdr:rowOff>
    </xdr:to>
    <xdr:sp macro="" textlink="">
      <xdr:nvSpPr>
        <xdr:cNvPr id="54" name="Rectangle: Rounded Corners 53">
          <a:extLst>
            <a:ext uri="{FF2B5EF4-FFF2-40B4-BE49-F238E27FC236}">
              <a16:creationId xmlns:a16="http://schemas.microsoft.com/office/drawing/2014/main" id="{9555A574-3A1F-3CC8-1AD7-F32F0349AAC2}"/>
            </a:ext>
          </a:extLst>
        </xdr:cNvPr>
        <xdr:cNvSpPr/>
      </xdr:nvSpPr>
      <xdr:spPr>
        <a:xfrm>
          <a:off x="7893225" y="5260538"/>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Sales Person</a:t>
          </a:r>
        </a:p>
      </xdr:txBody>
    </xdr:sp>
    <xdr:clientData/>
  </xdr:twoCellAnchor>
  <xdr:twoCellAnchor>
    <xdr:from>
      <xdr:col>4</xdr:col>
      <xdr:colOff>249034</xdr:colOff>
      <xdr:row>28</xdr:row>
      <xdr:rowOff>180538</xdr:rowOff>
    </xdr:from>
    <xdr:to>
      <xdr:col>12</xdr:col>
      <xdr:colOff>198939</xdr:colOff>
      <xdr:row>42</xdr:row>
      <xdr:rowOff>164495</xdr:rowOff>
    </xdr:to>
    <xdr:sp macro="" textlink="">
      <xdr:nvSpPr>
        <xdr:cNvPr id="55" name="Rectangle: Rounded Corners 54">
          <a:extLst>
            <a:ext uri="{FF2B5EF4-FFF2-40B4-BE49-F238E27FC236}">
              <a16:creationId xmlns:a16="http://schemas.microsoft.com/office/drawing/2014/main" id="{B3B04FF6-E1E6-B916-5E97-E49E962AFD37}"/>
            </a:ext>
          </a:extLst>
        </xdr:cNvPr>
        <xdr:cNvSpPr/>
      </xdr:nvSpPr>
      <xdr:spPr>
        <a:xfrm>
          <a:off x="2668082" y="5260538"/>
          <a:ext cx="4788000" cy="2523957"/>
        </a:xfrm>
        <a:prstGeom prst="roundRect">
          <a:avLst>
            <a:gd name="adj" fmla="val 14660"/>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solidFill>
                <a:schemeClr val="accent6">
                  <a:lumMod val="75000"/>
                </a:schemeClr>
              </a:solidFill>
            </a:rPr>
            <a:t>Total Sales by Product</a:t>
          </a:r>
        </a:p>
      </xdr:txBody>
    </xdr:sp>
    <xdr:clientData/>
  </xdr:twoCellAnchor>
  <xdr:twoCellAnchor>
    <xdr:from>
      <xdr:col>13</xdr:col>
      <xdr:colOff>290287</xdr:colOff>
      <xdr:row>11</xdr:row>
      <xdr:rowOff>157238</xdr:rowOff>
    </xdr:from>
    <xdr:to>
      <xdr:col>20</xdr:col>
      <xdr:colOff>399144</xdr:colOff>
      <xdr:row>26</xdr:row>
      <xdr:rowOff>37536</xdr:rowOff>
    </xdr:to>
    <xdr:graphicFrame macro="">
      <xdr:nvGraphicFramePr>
        <xdr:cNvPr id="56" name="Chart 55">
          <a:extLst>
            <a:ext uri="{FF2B5EF4-FFF2-40B4-BE49-F238E27FC236}">
              <a16:creationId xmlns:a16="http://schemas.microsoft.com/office/drawing/2014/main" id="{548D0427-AC8D-4CB1-8DC7-CD7776B8E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133048</xdr:colOff>
      <xdr:row>28</xdr:row>
      <xdr:rowOff>96762</xdr:rowOff>
    </xdr:from>
    <xdr:to>
      <xdr:col>20</xdr:col>
      <xdr:colOff>487130</xdr:colOff>
      <xdr:row>42</xdr:row>
      <xdr:rowOff>98013</xdr:rowOff>
    </xdr:to>
    <xdr:graphicFrame macro="">
      <xdr:nvGraphicFramePr>
        <xdr:cNvPr id="57" name="Chart 56">
          <a:extLst>
            <a:ext uri="{FF2B5EF4-FFF2-40B4-BE49-F238E27FC236}">
              <a16:creationId xmlns:a16="http://schemas.microsoft.com/office/drawing/2014/main" id="{5E41BFB6-B078-4FE5-BF13-5796B4E1D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568476</xdr:colOff>
      <xdr:row>28</xdr:row>
      <xdr:rowOff>157238</xdr:rowOff>
    </xdr:from>
    <xdr:to>
      <xdr:col>12</xdr:col>
      <xdr:colOff>311227</xdr:colOff>
      <xdr:row>44</xdr:row>
      <xdr:rowOff>13346</xdr:rowOff>
    </xdr:to>
    <xdr:graphicFrame macro="">
      <xdr:nvGraphicFramePr>
        <xdr:cNvPr id="58" name="Chart 57">
          <a:extLst>
            <a:ext uri="{FF2B5EF4-FFF2-40B4-BE49-F238E27FC236}">
              <a16:creationId xmlns:a16="http://schemas.microsoft.com/office/drawing/2014/main" id="{6CA6D1BE-C8E7-4924-B8C0-41D426812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AJ" refreshedDate="45990.745936921296" createdVersion="8" refreshedVersion="8" minRefreshableVersion="3" recordCount="50" xr:uid="{81489C50-7742-4319-A63B-F933AED3DAE4}">
  <cacheSource type="worksheet">
    <worksheetSource name="Table1"/>
  </cacheSource>
  <cacheFields count="9">
    <cacheField name="Date" numFmtId="14">
      <sharedItems containsSemiMixedTypes="0" containsNonDate="0" containsDate="1" containsString="0" minDate="2020-05-07T00:00:00" maxDate="2021-12-22T00:00:00" count="47">
        <d v="2021-02-19T00:00:00"/>
        <d v="2021-09-07T00:00:00"/>
        <d v="2021-02-03T00:00:00"/>
        <d v="2020-09-11T00:00:00"/>
        <d v="2021-09-23T00:00:00"/>
        <d v="2020-10-01T00:00:00"/>
        <d v="2021-08-05T00:00:00"/>
        <d v="2020-11-06T00:00:00"/>
        <d v="2021-01-27T00:00:00"/>
        <d v="2021-09-03T00:00:00"/>
        <d v="2021-09-30T00:00:00"/>
        <d v="2020-09-10T00:00:00"/>
        <d v="2021-07-27T00:00:00"/>
        <d v="2020-10-09T00:00:00"/>
        <d v="2021-04-06T00:00:00"/>
        <d v="2021-06-15T00:00:00"/>
        <d v="2020-09-09T00:00:00"/>
        <d v="2021-08-13T00:00:00"/>
        <d v="2020-08-27T00:00:00"/>
        <d v="2021-04-07T00:00:00"/>
        <d v="2020-06-08T00:00:00"/>
        <d v="2021-12-21T00:00:00"/>
        <d v="2021-08-10T00:00:00"/>
        <d v="2021-12-02T00:00:00"/>
        <d v="2021-08-30T00:00:00"/>
        <d v="2020-05-20T00:00:00"/>
        <d v="2021-09-13T00:00:00"/>
        <d v="2021-10-27T00:00:00"/>
        <d v="2020-12-22T00:00:00"/>
        <d v="2021-07-28T00:00:00"/>
        <d v="2020-09-29T00:00:00"/>
        <d v="2020-10-22T00:00:00"/>
        <d v="2020-05-19T00:00:00"/>
        <d v="2021-12-06T00:00:00"/>
        <d v="2020-08-26T00:00:00"/>
        <d v="2021-07-01T00:00:00"/>
        <d v="2020-10-05T00:00:00"/>
        <d v="2020-09-02T00:00:00"/>
        <d v="2021-09-02T00:00:00"/>
        <d v="2021-04-13T00:00:00"/>
        <d v="2021-05-06T00:00:00"/>
        <d v="2021-01-15T00:00:00"/>
        <d v="2021-02-05T00:00:00"/>
        <d v="2021-11-17T00:00:00"/>
        <d v="2020-12-28T00:00:00"/>
        <d v="2021-11-02T00:00:00"/>
        <d v="2020-05-07T00:00:00"/>
      </sharedItems>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ount="47">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967832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4"/>
    <n v="6000"/>
    <n v="4000"/>
    <x v="0"/>
    <n v="168000"/>
  </r>
  <r>
    <x v="1"/>
    <x v="1"/>
    <x v="1"/>
    <x v="1"/>
    <n v="128"/>
    <n v="3500"/>
    <n v="2500"/>
    <x v="1"/>
    <n v="128000"/>
  </r>
  <r>
    <x v="2"/>
    <x v="2"/>
    <x v="2"/>
    <x v="2"/>
    <n v="136"/>
    <n v="1200"/>
    <n v="800"/>
    <x v="2"/>
    <n v="54400"/>
  </r>
  <r>
    <x v="3"/>
    <x v="3"/>
    <x v="3"/>
    <x v="3"/>
    <n v="91"/>
    <n v="1000"/>
    <n v="700"/>
    <x v="3"/>
    <n v="27300"/>
  </r>
  <r>
    <x v="4"/>
    <x v="4"/>
    <x v="0"/>
    <x v="4"/>
    <n v="110"/>
    <n v="4000"/>
    <n v="3000"/>
    <x v="4"/>
    <n v="110000"/>
  </r>
  <r>
    <x v="5"/>
    <x v="5"/>
    <x v="1"/>
    <x v="2"/>
    <n v="51"/>
    <n v="1200"/>
    <n v="800"/>
    <x v="5"/>
    <n v="20400"/>
  </r>
  <r>
    <x v="6"/>
    <x v="6"/>
    <x v="3"/>
    <x v="3"/>
    <n v="78"/>
    <n v="1000"/>
    <n v="700"/>
    <x v="6"/>
    <n v="23400"/>
  </r>
  <r>
    <x v="7"/>
    <x v="7"/>
    <x v="2"/>
    <x v="0"/>
    <n v="146"/>
    <n v="6000"/>
    <n v="4000"/>
    <x v="7"/>
    <n v="292000"/>
  </r>
  <r>
    <x v="8"/>
    <x v="8"/>
    <x v="0"/>
    <x v="5"/>
    <n v="101"/>
    <n v="600"/>
    <n v="400"/>
    <x v="8"/>
    <n v="20200"/>
  </r>
  <r>
    <x v="9"/>
    <x v="9"/>
    <x v="2"/>
    <x v="0"/>
    <n v="52"/>
    <n v="6000"/>
    <n v="4000"/>
    <x v="9"/>
    <n v="104000"/>
  </r>
  <r>
    <x v="10"/>
    <x v="9"/>
    <x v="1"/>
    <x v="2"/>
    <n v="55"/>
    <n v="1200"/>
    <n v="800"/>
    <x v="10"/>
    <n v="22000"/>
  </r>
  <r>
    <x v="11"/>
    <x v="9"/>
    <x v="2"/>
    <x v="3"/>
    <n v="137"/>
    <n v="1000"/>
    <n v="700"/>
    <x v="11"/>
    <n v="41100"/>
  </r>
  <r>
    <x v="12"/>
    <x v="7"/>
    <x v="2"/>
    <x v="1"/>
    <n v="96"/>
    <n v="3500"/>
    <n v="2500"/>
    <x v="12"/>
    <n v="96000"/>
  </r>
  <r>
    <x v="13"/>
    <x v="8"/>
    <x v="1"/>
    <x v="4"/>
    <n v="52"/>
    <n v="4000"/>
    <n v="3000"/>
    <x v="13"/>
    <n v="52000"/>
  </r>
  <r>
    <x v="14"/>
    <x v="3"/>
    <x v="0"/>
    <x v="1"/>
    <n v="76"/>
    <n v="3500"/>
    <n v="2500"/>
    <x v="14"/>
    <n v="76000"/>
  </r>
  <r>
    <x v="15"/>
    <x v="1"/>
    <x v="3"/>
    <x v="4"/>
    <n v="145"/>
    <n v="4000"/>
    <n v="3000"/>
    <x v="15"/>
    <n v="145000"/>
  </r>
  <r>
    <x v="16"/>
    <x v="0"/>
    <x v="2"/>
    <x v="5"/>
    <n v="83"/>
    <n v="600"/>
    <n v="400"/>
    <x v="16"/>
    <n v="16600"/>
  </r>
  <r>
    <x v="17"/>
    <x v="4"/>
    <x v="2"/>
    <x v="3"/>
    <n v="91"/>
    <n v="1000"/>
    <n v="700"/>
    <x v="3"/>
    <n v="27300"/>
  </r>
  <r>
    <x v="18"/>
    <x v="5"/>
    <x v="0"/>
    <x v="6"/>
    <n v="108"/>
    <n v="10000"/>
    <n v="7000"/>
    <x v="17"/>
    <n v="324000"/>
  </r>
  <r>
    <x v="19"/>
    <x v="2"/>
    <x v="3"/>
    <x v="4"/>
    <n v="144"/>
    <n v="4000"/>
    <n v="3000"/>
    <x v="18"/>
    <n v="144000"/>
  </r>
  <r>
    <x v="20"/>
    <x v="4"/>
    <x v="2"/>
    <x v="5"/>
    <n v="92"/>
    <n v="600"/>
    <n v="400"/>
    <x v="19"/>
    <n v="18400"/>
  </r>
  <r>
    <x v="21"/>
    <x v="7"/>
    <x v="0"/>
    <x v="0"/>
    <n v="71"/>
    <n v="6000"/>
    <n v="4000"/>
    <x v="20"/>
    <n v="142000"/>
  </r>
  <r>
    <x v="22"/>
    <x v="0"/>
    <x v="1"/>
    <x v="5"/>
    <n v="103"/>
    <n v="600"/>
    <n v="400"/>
    <x v="21"/>
    <n v="20600"/>
  </r>
  <r>
    <x v="23"/>
    <x v="9"/>
    <x v="3"/>
    <x v="3"/>
    <n v="55"/>
    <n v="1000"/>
    <n v="700"/>
    <x v="22"/>
    <n v="16500"/>
  </r>
  <r>
    <x v="24"/>
    <x v="5"/>
    <x v="1"/>
    <x v="4"/>
    <n v="93"/>
    <n v="4000"/>
    <n v="3000"/>
    <x v="23"/>
    <n v="93000"/>
  </r>
  <r>
    <x v="25"/>
    <x v="2"/>
    <x v="2"/>
    <x v="5"/>
    <n v="143"/>
    <n v="600"/>
    <n v="400"/>
    <x v="24"/>
    <n v="28600"/>
  </r>
  <r>
    <x v="26"/>
    <x v="6"/>
    <x v="0"/>
    <x v="1"/>
    <n v="143"/>
    <n v="3500"/>
    <n v="2500"/>
    <x v="25"/>
    <n v="143000"/>
  </r>
  <r>
    <x v="27"/>
    <x v="8"/>
    <x v="3"/>
    <x v="5"/>
    <n v="99"/>
    <n v="600"/>
    <n v="400"/>
    <x v="26"/>
    <n v="19800"/>
  </r>
  <r>
    <x v="28"/>
    <x v="3"/>
    <x v="0"/>
    <x v="3"/>
    <n v="120"/>
    <n v="1000"/>
    <n v="700"/>
    <x v="27"/>
    <n v="36000"/>
  </r>
  <r>
    <x v="29"/>
    <x v="1"/>
    <x v="2"/>
    <x v="1"/>
    <n v="66"/>
    <n v="3500"/>
    <n v="2500"/>
    <x v="28"/>
    <n v="66000"/>
  </r>
  <r>
    <x v="30"/>
    <x v="8"/>
    <x v="3"/>
    <x v="2"/>
    <n v="88"/>
    <n v="1200"/>
    <n v="800"/>
    <x v="29"/>
    <n v="35200"/>
  </r>
  <r>
    <x v="31"/>
    <x v="3"/>
    <x v="1"/>
    <x v="6"/>
    <n v="127"/>
    <n v="10000"/>
    <n v="7000"/>
    <x v="30"/>
    <n v="381000"/>
  </r>
  <r>
    <x v="32"/>
    <x v="4"/>
    <x v="0"/>
    <x v="4"/>
    <n v="67"/>
    <n v="4000"/>
    <n v="3000"/>
    <x v="31"/>
    <n v="67000"/>
  </r>
  <r>
    <x v="33"/>
    <x v="1"/>
    <x v="1"/>
    <x v="2"/>
    <n v="67"/>
    <n v="1200"/>
    <n v="800"/>
    <x v="32"/>
    <n v="26800"/>
  </r>
  <r>
    <x v="34"/>
    <x v="9"/>
    <x v="2"/>
    <x v="3"/>
    <n v="149"/>
    <n v="1000"/>
    <n v="700"/>
    <x v="33"/>
    <n v="44700"/>
  </r>
  <r>
    <x v="35"/>
    <x v="4"/>
    <x v="3"/>
    <x v="5"/>
    <n v="104"/>
    <n v="600"/>
    <n v="400"/>
    <x v="34"/>
    <n v="20800"/>
  </r>
  <r>
    <x v="12"/>
    <x v="7"/>
    <x v="0"/>
    <x v="5"/>
    <n v="57"/>
    <n v="600"/>
    <n v="400"/>
    <x v="35"/>
    <n v="11400"/>
  </r>
  <r>
    <x v="36"/>
    <x v="2"/>
    <x v="1"/>
    <x v="5"/>
    <n v="90"/>
    <n v="600"/>
    <n v="400"/>
    <x v="36"/>
    <n v="18000"/>
  </r>
  <r>
    <x v="37"/>
    <x v="5"/>
    <x v="2"/>
    <x v="5"/>
    <n v="67"/>
    <n v="600"/>
    <n v="400"/>
    <x v="37"/>
    <n v="13400"/>
  </r>
  <r>
    <x v="38"/>
    <x v="0"/>
    <x v="3"/>
    <x v="4"/>
    <n v="127"/>
    <n v="4000"/>
    <n v="3000"/>
    <x v="38"/>
    <n v="127000"/>
  </r>
  <r>
    <x v="39"/>
    <x v="5"/>
    <x v="0"/>
    <x v="3"/>
    <n v="108"/>
    <n v="1000"/>
    <n v="700"/>
    <x v="39"/>
    <n v="32400"/>
  </r>
  <r>
    <x v="40"/>
    <x v="2"/>
    <x v="1"/>
    <x v="1"/>
    <n v="66"/>
    <n v="3500"/>
    <n v="2500"/>
    <x v="28"/>
    <n v="66000"/>
  </r>
  <r>
    <x v="41"/>
    <x v="0"/>
    <x v="3"/>
    <x v="0"/>
    <n v="78"/>
    <n v="6000"/>
    <n v="4000"/>
    <x v="40"/>
    <n v="156000"/>
  </r>
  <r>
    <x v="18"/>
    <x v="7"/>
    <x v="2"/>
    <x v="3"/>
    <n v="69"/>
    <n v="1000"/>
    <n v="700"/>
    <x v="41"/>
    <n v="20700"/>
  </r>
  <r>
    <x v="42"/>
    <x v="4"/>
    <x v="0"/>
    <x v="2"/>
    <n v="59"/>
    <n v="1200"/>
    <n v="800"/>
    <x v="42"/>
    <n v="23600"/>
  </r>
  <r>
    <x v="43"/>
    <x v="9"/>
    <x v="2"/>
    <x v="5"/>
    <n v="109"/>
    <n v="600"/>
    <n v="400"/>
    <x v="43"/>
    <n v="21800"/>
  </r>
  <r>
    <x v="44"/>
    <x v="8"/>
    <x v="1"/>
    <x v="4"/>
    <n v="61"/>
    <n v="4000"/>
    <n v="3000"/>
    <x v="44"/>
    <n v="61000"/>
  </r>
  <r>
    <x v="27"/>
    <x v="4"/>
    <x v="3"/>
    <x v="5"/>
    <n v="130"/>
    <n v="600"/>
    <n v="400"/>
    <x v="6"/>
    <n v="26000"/>
  </r>
  <r>
    <x v="45"/>
    <x v="3"/>
    <x v="2"/>
    <x v="1"/>
    <n v="60"/>
    <n v="3500"/>
    <n v="2500"/>
    <x v="45"/>
    <n v="60000"/>
  </r>
  <r>
    <x v="46"/>
    <x v="1"/>
    <x v="1"/>
    <x v="0"/>
    <n v="73"/>
    <n v="6000"/>
    <n v="4000"/>
    <x v="46"/>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DE2D3-3996-4F00-B882-5D9B17708AF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sortType="ascending">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numFmtId="1"/>
  </dataFields>
  <formats count="2">
    <format dxfId="267">
      <pivotArea dataOnly="0" labelOnly="1" outline="0" axis="axisValues" fieldPosition="0"/>
    </format>
    <format dxfId="266">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5"/>
          </reference>
        </references>
      </pivotArea>
    </chartFormat>
    <chartFormat chart="1" format="2">
      <pivotArea type="data" outline="0" fieldPosition="0">
        <references count="2">
          <reference field="4294967294" count="1" selected="0">
            <x v="0"/>
          </reference>
          <reference field="3" count="1" selected="0">
            <x v="4"/>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C5F50-537C-4406-84E8-766080E5EB6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9"/>
  </dataFields>
  <formats count="2">
    <format dxfId="268">
      <pivotArea dataOnly="0" labelOnly="1" outline="0" axis="axisValues" fieldPosition="0"/>
    </format>
    <format dxfId="26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A243E-0ED0-4032-894A-C04DBD363FE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9"/>
  </dataFields>
  <formats count="3">
    <format dxfId="269">
      <pivotArea dataOnly="0" labelOnly="1" outline="0" axis="axisValues" fieldPosition="0"/>
    </format>
    <format dxfId="265">
      <pivotArea collapsedLevelsAreSubtotals="1" fieldPosition="0">
        <references count="1">
          <reference field="3" count="1">
            <x v="0"/>
          </reference>
        </references>
      </pivotArea>
    </format>
    <format dxfId="264">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954A84-2AFD-45DB-9757-290725C2EC5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9"/>
  </dataFields>
  <formats count="3">
    <format dxfId="260">
      <pivotArea outline="0" collapsedLevelsAreSubtotals="1" fieldPosition="0"/>
    </format>
    <format dxfId="261">
      <pivotArea dataOnly="0" labelOnly="1" outline="0" axis="axisValues" fieldPosition="0"/>
    </format>
    <format dxfId="262">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FAF98E5-989D-4BCD-9D33-7F7A730ABD67}" sourceName="Sales Person">
  <pivotTables>
    <pivotTable tabId="5" name="PivotTable2"/>
    <pivotTable tabId="5" name="PivotTable3"/>
    <pivotTable tabId="5" name="PivotTable4"/>
    <pivotTable tabId="5" name="PivotTable5"/>
  </pivotTables>
  <data>
    <tabular pivotCacheId="1967832062">
      <items count="10">
        <i x="0" s="1"/>
        <i x="8" s="1"/>
        <i x="3" s="1"/>
        <i x="5" s="1"/>
        <i x="7" s="1"/>
        <i x="2" s="1"/>
        <i x="1" s="1"/>
        <i x="4" s="1"/>
        <i x="9"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0F267F-6181-49FB-B812-0648F6BFDB6D}" sourceName="Region">
  <pivotTables>
    <pivotTable tabId="5" name="PivotTable2"/>
    <pivotTable tabId="5" name="PivotTable3"/>
    <pivotTable tabId="5" name="PivotTable4"/>
    <pivotTable tabId="5" name="PivotTable5"/>
  </pivotTables>
  <data>
    <tabular pivotCacheId="196783206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5C104F-D35A-4DFC-AA23-E18FDE7D7BDF}" sourceName="Product">
  <pivotTables>
    <pivotTable tabId="5" name="PivotTable2"/>
    <pivotTable tabId="5" name="PivotTable3"/>
    <pivotTable tabId="5" name="PivotTable4"/>
    <pivotTable tabId="5" name="PivotTable5"/>
  </pivotTables>
  <data>
    <tabular pivotCacheId="1967832062">
      <items count="7">
        <i x="2" s="1"/>
        <i x="1" s="1"/>
        <i x="5" s="1"/>
        <i x="3" s="1"/>
        <i x="6" s="1"/>
        <i x="4"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568E2B4-2071-460C-80B4-54C1F9428718}" cache="Slicer_Sales_Person" caption="Sales Person" columnCount="2" rowHeight="247650"/>
  <slicer name="Region" xr10:uid="{B430BF43-2D9C-4395-BB07-322E80DF0D29}" cache="Slicer_Region" caption="Region" columnCount="2" rowHeight="247650"/>
  <slicer name="Product" xr10:uid="{01BC4BB0-BEF8-4C59-B9D6-FCCC04814850}" cache="Slicer_Product" caption="Product"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EA50B5D7-760A-4301-8A3B-5874DCBEC3BF}" cache="Slicer_Sales_Person" caption="Sales Person" style="SlicerStyleDark6" rowHeight="247650"/>
  <slicer name="Region 1" xr10:uid="{C00FD907-32D7-4D3B-9410-8C32AACA2975}" cache="Slicer_Region" caption="Region" columnCount="2" style="SlicerStyleDark6" rowHeight="247650"/>
  <slicer name="Product 1" xr10:uid="{15936591-F8F0-433D-B2ED-9DF62FCC34A7}" cache="Slicer_Product" caption="Product"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6F3735-0C5C-455A-AF4E-BF2C0713FB07}" name="Table1" displayName="Table1" ref="A1:I51" totalsRowShown="0" headerRowDxfId="270" dataDxfId="271" dataCellStyle="Currency [0]">
  <autoFilter ref="A1:I51" xr:uid="{4E6F3735-0C5C-455A-AF4E-BF2C0713FB07}"/>
  <tableColumns count="9">
    <tableColumn id="1" xr3:uid="{97FBA22C-0399-4D19-9BCA-121202F06D49}" name="Date" dataDxfId="277"/>
    <tableColumn id="2" xr3:uid="{AFBBDF75-5D7A-4F00-AF0C-AEEB509D3FBF}" name="Sales Person"/>
    <tableColumn id="3" xr3:uid="{97438156-7E20-4C72-B1E2-7D4811FC0A0A}" name="Region"/>
    <tableColumn id="4" xr3:uid="{14B8FD94-DA22-4225-996C-844AD3A90373}" name="Product"/>
    <tableColumn id="5" xr3:uid="{C2B8D6EE-5D58-4372-9DF0-9B035374D0EB}" name="Units Sold" dataDxfId="276"/>
    <tableColumn id="6" xr3:uid="{0C489706-D5AD-40E4-A7FC-5725383FD5A4}" name="Unit Price" dataDxfId="275" dataCellStyle="Currency [0]">
      <calculatedColumnFormula>IF(D2="Tent",6000,IF(D2="Blender",3500,IF(D2="Action Figure",1200,IF(D2="Novel",1000,IF(D2="Sneakers",4000,IF(D2="Smartphone",10000,IF(D2="moisturizer",600,"No Product Found")))))))</calculatedColumnFormula>
    </tableColumn>
    <tableColumn id="7" xr3:uid="{D2387AF2-CF4C-4D37-8B36-74019A22B078}" name="Cost of Goods" dataDxfId="274" dataCellStyle="Currency [0]">
      <calculatedColumnFormula>IF(D2="Tent",4000,IF(D2="Blender",2500,IF(D2="Action Figure",800,IF(D2="Novel",700,IF(D2="Sneakers",3000,IF(D2="Smartphone",7000,IF(D2="moisturizer",400,"No Product Found")))))))</calculatedColumnFormula>
    </tableColumn>
    <tableColumn id="8" xr3:uid="{44472F20-DF0C-4E32-9299-93F2F97D32A8}" name="Total Sales" dataDxfId="273" dataCellStyle="Currency [0]">
      <calculatedColumnFormula>F2*E2</calculatedColumnFormula>
    </tableColumn>
    <tableColumn id="9" xr3:uid="{22A3422F-BA95-4FB7-B8CD-860B31BDC13B}" name="Profit" dataDxfId="272">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3E72A-097B-4798-BAF3-B3E51EF43A7F}">
  <dimension ref="A3:M14"/>
  <sheetViews>
    <sheetView topLeftCell="B6" zoomScale="87" workbookViewId="0">
      <selection activeCell="P8" sqref="P8"/>
    </sheetView>
  </sheetViews>
  <sheetFormatPr defaultRowHeight="14.4" x14ac:dyDescent="0.3"/>
  <cols>
    <col min="1" max="1" width="12.77734375" bestFit="1" customWidth="1"/>
    <col min="2" max="2" width="16.33203125" style="8" bestFit="1" customWidth="1"/>
    <col min="4" max="4" width="12.77734375" bestFit="1" customWidth="1"/>
    <col min="5" max="5" width="16.33203125" style="8" bestFit="1" customWidth="1"/>
    <col min="8" max="8" width="12.77734375" bestFit="1" customWidth="1"/>
    <col min="9" max="9" width="16.33203125" bestFit="1" customWidth="1"/>
    <col min="12" max="12" width="12.77734375" bestFit="1" customWidth="1"/>
    <col min="13" max="13" width="15.6640625" bestFit="1" customWidth="1"/>
  </cols>
  <sheetData>
    <row r="3" spans="1:13" x14ac:dyDescent="0.3">
      <c r="A3" s="7" t="s">
        <v>34</v>
      </c>
      <c r="B3" s="8" t="s">
        <v>35</v>
      </c>
      <c r="D3" s="7" t="s">
        <v>34</v>
      </c>
      <c r="E3" s="8" t="s">
        <v>35</v>
      </c>
      <c r="H3" s="7" t="s">
        <v>34</v>
      </c>
      <c r="I3" s="8" t="s">
        <v>35</v>
      </c>
      <c r="L3" s="7" t="s">
        <v>34</v>
      </c>
      <c r="M3" s="8" t="s">
        <v>36</v>
      </c>
    </row>
    <row r="4" spans="1:13" x14ac:dyDescent="0.3">
      <c r="A4" s="3" t="s">
        <v>12</v>
      </c>
      <c r="B4" s="10">
        <v>3534400</v>
      </c>
      <c r="D4" s="3" t="s">
        <v>16</v>
      </c>
      <c r="E4" s="10">
        <v>547200</v>
      </c>
      <c r="H4" s="3" t="s">
        <v>8</v>
      </c>
      <c r="I4" s="10">
        <v>1591600</v>
      </c>
      <c r="L4" s="3" t="s">
        <v>16</v>
      </c>
      <c r="M4" s="9">
        <v>456</v>
      </c>
    </row>
    <row r="5" spans="1:13" x14ac:dyDescent="0.3">
      <c r="A5" s="3" t="s">
        <v>18</v>
      </c>
      <c r="B5" s="10">
        <v>2661400</v>
      </c>
      <c r="D5" s="3" t="s">
        <v>13</v>
      </c>
      <c r="E5" s="10">
        <v>2222500</v>
      </c>
      <c r="H5" s="3" t="s">
        <v>25</v>
      </c>
      <c r="I5" s="10">
        <v>677600</v>
      </c>
      <c r="L5" s="3" t="s">
        <v>13</v>
      </c>
      <c r="M5" s="9">
        <v>635</v>
      </c>
    </row>
    <row r="6" spans="1:13" x14ac:dyDescent="0.3">
      <c r="A6" s="3" t="s">
        <v>15</v>
      </c>
      <c r="B6" s="10">
        <v>2870600</v>
      </c>
      <c r="D6" s="3" t="s">
        <v>26</v>
      </c>
      <c r="E6" s="10">
        <v>706800</v>
      </c>
      <c r="H6" s="3" t="s">
        <v>17</v>
      </c>
      <c r="I6" s="10">
        <v>1957000</v>
      </c>
      <c r="L6" s="3" t="s">
        <v>26</v>
      </c>
      <c r="M6" s="9">
        <v>1178</v>
      </c>
    </row>
    <row r="7" spans="1:13" x14ac:dyDescent="0.3">
      <c r="A7" s="3" t="s">
        <v>9</v>
      </c>
      <c r="B7" s="10">
        <v>3878100</v>
      </c>
      <c r="D7" s="3" t="s">
        <v>19</v>
      </c>
      <c r="E7" s="10">
        <v>898000</v>
      </c>
      <c r="H7" s="3" t="s">
        <v>22</v>
      </c>
      <c r="I7" s="10">
        <v>1661400</v>
      </c>
      <c r="L7" s="3" t="s">
        <v>19</v>
      </c>
      <c r="M7" s="9">
        <v>898</v>
      </c>
    </row>
    <row r="8" spans="1:13" x14ac:dyDescent="0.3">
      <c r="A8" s="3" t="s">
        <v>30</v>
      </c>
      <c r="B8" s="10">
        <v>12944500</v>
      </c>
      <c r="D8" s="3" t="s">
        <v>28</v>
      </c>
      <c r="E8" s="10">
        <v>2350000</v>
      </c>
      <c r="H8" s="3" t="s">
        <v>24</v>
      </c>
      <c r="I8" s="10">
        <v>1741200</v>
      </c>
      <c r="L8" s="3" t="s">
        <v>28</v>
      </c>
      <c r="M8" s="9">
        <v>235</v>
      </c>
    </row>
    <row r="9" spans="1:13" x14ac:dyDescent="0.3">
      <c r="D9" s="3" t="s">
        <v>21</v>
      </c>
      <c r="E9" s="10">
        <v>3196000</v>
      </c>
      <c r="H9" s="3" t="s">
        <v>14</v>
      </c>
      <c r="I9" s="10">
        <v>1110000</v>
      </c>
      <c r="L9" s="3" t="s">
        <v>21</v>
      </c>
      <c r="M9" s="9">
        <v>799</v>
      </c>
    </row>
    <row r="10" spans="1:13" x14ac:dyDescent="0.3">
      <c r="D10" s="3" t="s">
        <v>10</v>
      </c>
      <c r="E10" s="10">
        <v>3024000</v>
      </c>
      <c r="H10" s="3" t="s">
        <v>11</v>
      </c>
      <c r="I10" s="10">
        <v>1777400</v>
      </c>
      <c r="L10" s="3" t="s">
        <v>10</v>
      </c>
      <c r="M10" s="9">
        <v>504</v>
      </c>
    </row>
    <row r="11" spans="1:13" x14ac:dyDescent="0.3">
      <c r="D11" s="3" t="s">
        <v>30</v>
      </c>
      <c r="E11" s="10">
        <v>12944500</v>
      </c>
      <c r="H11" s="3" t="s">
        <v>20</v>
      </c>
      <c r="I11" s="10">
        <v>1065400</v>
      </c>
      <c r="L11" s="3" t="s">
        <v>30</v>
      </c>
      <c r="M11" s="9">
        <v>4705</v>
      </c>
    </row>
    <row r="12" spans="1:13" x14ac:dyDescent="0.3">
      <c r="H12" s="3" t="s">
        <v>27</v>
      </c>
      <c r="I12" s="10">
        <v>784400</v>
      </c>
    </row>
    <row r="13" spans="1:13" x14ac:dyDescent="0.3">
      <c r="H13" s="3" t="s">
        <v>23</v>
      </c>
      <c r="I13" s="10">
        <v>578500</v>
      </c>
    </row>
    <row r="14" spans="1:13" x14ac:dyDescent="0.3">
      <c r="H14" s="3" t="s">
        <v>30</v>
      </c>
      <c r="I14" s="10">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A8D6-B80B-45AD-A6C5-8B2373CE97E2}">
  <dimension ref="F14"/>
  <sheetViews>
    <sheetView showGridLines="0" showRowColHeaders="0" zoomScale="78" workbookViewId="0">
      <selection activeCell="Z21" sqref="Z21"/>
    </sheetView>
  </sheetViews>
  <sheetFormatPr defaultRowHeight="14.4" x14ac:dyDescent="0.3"/>
  <sheetData>
    <row r="14" spans="6:6" x14ac:dyDescent="0.3">
      <c r="F1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N51"/>
  <sheetViews>
    <sheetView tabSelected="1" workbookViewId="0">
      <selection activeCell="M5" sqref="M5"/>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 min="13" max="13" width="14.33203125" bestFit="1" customWidth="1"/>
    <col min="14" max="14" width="12.109375" bestFit="1" customWidth="1"/>
  </cols>
  <sheetData>
    <row r="1" spans="1:14" ht="20.100000000000001" customHeight="1" thickBot="1" x14ac:dyDescent="0.35">
      <c r="A1" s="1" t="s">
        <v>0</v>
      </c>
      <c r="B1" s="1" t="s">
        <v>1</v>
      </c>
      <c r="C1" s="1" t="s">
        <v>2</v>
      </c>
      <c r="D1" s="1" t="s">
        <v>3</v>
      </c>
      <c r="E1" s="1" t="s">
        <v>4</v>
      </c>
      <c r="F1" s="1" t="s">
        <v>5</v>
      </c>
      <c r="G1" s="1" t="s">
        <v>6</v>
      </c>
      <c r="H1" s="1" t="s">
        <v>7</v>
      </c>
      <c r="I1" s="5" t="s">
        <v>29</v>
      </c>
      <c r="K1" s="5" t="s">
        <v>30</v>
      </c>
      <c r="L1" s="5" t="s">
        <v>31</v>
      </c>
      <c r="M1" s="5" t="s">
        <v>32</v>
      </c>
      <c r="N1" s="5" t="s">
        <v>33</v>
      </c>
    </row>
    <row r="2" spans="1:14"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K2" s="12">
        <f>SUM(H2:H51)</f>
        <v>12944500</v>
      </c>
      <c r="L2">
        <f>SUM(E2:E51)</f>
        <v>4705</v>
      </c>
      <c r="M2" s="12">
        <f>SUM(H2:H51)</f>
        <v>12944500</v>
      </c>
      <c r="N2" s="12">
        <f>AVERAGE(H2:H51)</f>
        <v>258890</v>
      </c>
    </row>
    <row r="3" spans="1:14"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row>
    <row r="4" spans="1:14" x14ac:dyDescent="0.3">
      <c r="A4" s="2">
        <v>44230</v>
      </c>
      <c r="B4" t="s">
        <v>14</v>
      </c>
      <c r="C4" t="s">
        <v>15</v>
      </c>
      <c r="D4" t="s">
        <v>16</v>
      </c>
      <c r="E4" s="3">
        <v>136</v>
      </c>
      <c r="F4" s="4">
        <f t="shared" si="0"/>
        <v>1200</v>
      </c>
      <c r="G4" s="4">
        <f t="shared" si="1"/>
        <v>800</v>
      </c>
      <c r="H4" s="4">
        <f t="shared" si="2"/>
        <v>163200</v>
      </c>
      <c r="I4" s="6">
        <f t="shared" si="3"/>
        <v>54400</v>
      </c>
    </row>
    <row r="5" spans="1:14" x14ac:dyDescent="0.3">
      <c r="A5" s="2">
        <v>44085</v>
      </c>
      <c r="B5" t="s">
        <v>17</v>
      </c>
      <c r="C5" t="s">
        <v>18</v>
      </c>
      <c r="D5" t="s">
        <v>19</v>
      </c>
      <c r="E5" s="3">
        <v>91</v>
      </c>
      <c r="F5" s="4">
        <f t="shared" si="0"/>
        <v>1000</v>
      </c>
      <c r="G5" s="4">
        <f t="shared" si="1"/>
        <v>700</v>
      </c>
      <c r="H5" s="4">
        <f t="shared" si="2"/>
        <v>91000</v>
      </c>
      <c r="I5" s="6">
        <f t="shared" si="3"/>
        <v>27300</v>
      </c>
    </row>
    <row r="6" spans="1:14" x14ac:dyDescent="0.3">
      <c r="A6" s="2">
        <v>44462</v>
      </c>
      <c r="B6" t="s">
        <v>20</v>
      </c>
      <c r="C6" t="s">
        <v>9</v>
      </c>
      <c r="D6" t="s">
        <v>21</v>
      </c>
      <c r="E6" s="3">
        <v>110</v>
      </c>
      <c r="F6" s="4">
        <f t="shared" si="0"/>
        <v>4000</v>
      </c>
      <c r="G6" s="4">
        <f t="shared" si="1"/>
        <v>3000</v>
      </c>
      <c r="H6" s="4">
        <f t="shared" si="2"/>
        <v>440000</v>
      </c>
      <c r="I6" s="6">
        <f t="shared" si="3"/>
        <v>110000</v>
      </c>
    </row>
    <row r="7" spans="1:14" x14ac:dyDescent="0.3">
      <c r="A7" s="2">
        <v>44105</v>
      </c>
      <c r="B7" t="s">
        <v>22</v>
      </c>
      <c r="C7" t="s">
        <v>12</v>
      </c>
      <c r="D7" t="s">
        <v>16</v>
      </c>
      <c r="E7" s="3">
        <v>51</v>
      </c>
      <c r="F7" s="4">
        <f t="shared" si="0"/>
        <v>1200</v>
      </c>
      <c r="G7" s="4">
        <f t="shared" si="1"/>
        <v>800</v>
      </c>
      <c r="H7" s="4">
        <f t="shared" si="2"/>
        <v>61200</v>
      </c>
      <c r="I7" s="6">
        <f t="shared" si="3"/>
        <v>20400</v>
      </c>
    </row>
    <row r="8" spans="1:14" x14ac:dyDescent="0.3">
      <c r="A8" s="2">
        <v>44413</v>
      </c>
      <c r="B8" t="s">
        <v>23</v>
      </c>
      <c r="C8" t="s">
        <v>18</v>
      </c>
      <c r="D8" t="s">
        <v>19</v>
      </c>
      <c r="E8" s="3">
        <v>78</v>
      </c>
      <c r="F8" s="4">
        <f t="shared" si="0"/>
        <v>1000</v>
      </c>
      <c r="G8" s="4">
        <f t="shared" si="1"/>
        <v>700</v>
      </c>
      <c r="H8" s="4">
        <f t="shared" si="2"/>
        <v>78000</v>
      </c>
      <c r="I8" s="6">
        <f t="shared" si="3"/>
        <v>23400</v>
      </c>
    </row>
    <row r="9" spans="1:14" x14ac:dyDescent="0.3">
      <c r="A9" s="2">
        <v>44141</v>
      </c>
      <c r="B9" t="s">
        <v>24</v>
      </c>
      <c r="C9" t="s">
        <v>15</v>
      </c>
      <c r="D9" t="s">
        <v>10</v>
      </c>
      <c r="E9" s="3">
        <v>146</v>
      </c>
      <c r="F9" s="4">
        <f t="shared" si="0"/>
        <v>6000</v>
      </c>
      <c r="G9" s="4">
        <f t="shared" si="1"/>
        <v>4000</v>
      </c>
      <c r="H9" s="4">
        <f t="shared" si="2"/>
        <v>876000</v>
      </c>
      <c r="I9" s="6">
        <f t="shared" si="3"/>
        <v>292000</v>
      </c>
    </row>
    <row r="10" spans="1:14" x14ac:dyDescent="0.3">
      <c r="A10" s="2">
        <v>44223</v>
      </c>
      <c r="B10" t="s">
        <v>25</v>
      </c>
      <c r="C10" t="s">
        <v>9</v>
      </c>
      <c r="D10" t="s">
        <v>26</v>
      </c>
      <c r="E10" s="3">
        <v>101</v>
      </c>
      <c r="F10" s="4">
        <f t="shared" si="0"/>
        <v>600</v>
      </c>
      <c r="G10" s="4">
        <f t="shared" si="1"/>
        <v>400</v>
      </c>
      <c r="H10" s="4">
        <f t="shared" si="2"/>
        <v>60600</v>
      </c>
      <c r="I10" s="6">
        <f t="shared" si="3"/>
        <v>20200</v>
      </c>
    </row>
    <row r="11" spans="1:14" x14ac:dyDescent="0.3">
      <c r="A11" s="2">
        <v>44442</v>
      </c>
      <c r="B11" t="s">
        <v>27</v>
      </c>
      <c r="C11" t="s">
        <v>15</v>
      </c>
      <c r="D11" t="s">
        <v>10</v>
      </c>
      <c r="E11" s="3">
        <v>52</v>
      </c>
      <c r="F11" s="4">
        <f t="shared" si="0"/>
        <v>6000</v>
      </c>
      <c r="G11" s="4">
        <f t="shared" si="1"/>
        <v>4000</v>
      </c>
      <c r="H11" s="4">
        <f t="shared" si="2"/>
        <v>312000</v>
      </c>
      <c r="I11" s="6">
        <f t="shared" si="3"/>
        <v>104000</v>
      </c>
    </row>
    <row r="12" spans="1:14" x14ac:dyDescent="0.3">
      <c r="A12" s="2">
        <v>44469</v>
      </c>
      <c r="B12" t="s">
        <v>27</v>
      </c>
      <c r="C12" t="s">
        <v>12</v>
      </c>
      <c r="D12" t="s">
        <v>16</v>
      </c>
      <c r="E12" s="3">
        <v>55</v>
      </c>
      <c r="F12" s="4">
        <f t="shared" si="0"/>
        <v>1200</v>
      </c>
      <c r="G12" s="4">
        <f t="shared" si="1"/>
        <v>800</v>
      </c>
      <c r="H12" s="4">
        <f t="shared" si="2"/>
        <v>66000</v>
      </c>
      <c r="I12" s="6">
        <f t="shared" si="3"/>
        <v>22000</v>
      </c>
    </row>
    <row r="13" spans="1:14" x14ac:dyDescent="0.3">
      <c r="A13" s="2">
        <v>44084</v>
      </c>
      <c r="B13" t="s">
        <v>27</v>
      </c>
      <c r="C13" t="s">
        <v>15</v>
      </c>
      <c r="D13" t="s">
        <v>19</v>
      </c>
      <c r="E13" s="3">
        <v>137</v>
      </c>
      <c r="F13" s="4">
        <f t="shared" si="0"/>
        <v>1000</v>
      </c>
      <c r="G13" s="4">
        <f t="shared" si="1"/>
        <v>700</v>
      </c>
      <c r="H13" s="4">
        <f t="shared" si="2"/>
        <v>137000</v>
      </c>
      <c r="I13" s="6">
        <f t="shared" si="3"/>
        <v>41100</v>
      </c>
    </row>
    <row r="14" spans="1:14" x14ac:dyDescent="0.3">
      <c r="A14" s="2">
        <v>44404</v>
      </c>
      <c r="B14" t="s">
        <v>24</v>
      </c>
      <c r="C14" t="s">
        <v>15</v>
      </c>
      <c r="D14" t="s">
        <v>13</v>
      </c>
      <c r="E14" s="3">
        <v>96</v>
      </c>
      <c r="F14" s="4">
        <f t="shared" si="0"/>
        <v>3500</v>
      </c>
      <c r="G14" s="4">
        <f t="shared" si="1"/>
        <v>2500</v>
      </c>
      <c r="H14" s="4">
        <f t="shared" si="2"/>
        <v>336000</v>
      </c>
      <c r="I14" s="6">
        <f t="shared" si="3"/>
        <v>96000</v>
      </c>
    </row>
    <row r="15" spans="1:14" x14ac:dyDescent="0.3">
      <c r="A15" s="2">
        <v>44113</v>
      </c>
      <c r="B15" t="s">
        <v>25</v>
      </c>
      <c r="C15" t="s">
        <v>12</v>
      </c>
      <c r="D15" t="s">
        <v>21</v>
      </c>
      <c r="E15" s="3">
        <v>52</v>
      </c>
      <c r="F15" s="4">
        <f t="shared" si="0"/>
        <v>4000</v>
      </c>
      <c r="G15" s="4">
        <f t="shared" si="1"/>
        <v>3000</v>
      </c>
      <c r="H15" s="4">
        <f t="shared" si="2"/>
        <v>208000</v>
      </c>
      <c r="I15" s="6">
        <f t="shared" si="3"/>
        <v>52000</v>
      </c>
    </row>
    <row r="16" spans="1:14"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 t="shared" si="3"/>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97BE54F0-7908-4DA3-A288-0A2FD753AA2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SalesData!A2</xm:f>
              <xm:sqref>A2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RANJITH RAJ</cp:lastModifiedBy>
  <dcterms:created xsi:type="dcterms:W3CDTF">2024-05-30T14:35:02Z</dcterms:created>
  <dcterms:modified xsi:type="dcterms:W3CDTF">2025-11-29T15:51:46Z</dcterms:modified>
</cp:coreProperties>
</file>